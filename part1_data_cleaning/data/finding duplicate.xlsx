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esktop\Business Analytics with Gen AI\Capstone Project\Part 1\part1\"/>
    </mc:Choice>
  </mc:AlternateContent>
  <xr:revisionPtr revIDLastSave="0" documentId="13_ncr:1_{C6DDF6C3-6C77-4BC3-AC24-0FEC48F19CCF}" xr6:coauthVersionLast="47" xr6:coauthVersionMax="47" xr10:uidLastSave="{00000000-0000-0000-0000-000000000000}"/>
  <bookViews>
    <workbookView xWindow="-108" yWindow="-108" windowWidth="23256" windowHeight="12456" xr2:uid="{7D0E9393-41DE-44E7-A091-F602E8C09466}"/>
  </bookViews>
  <sheets>
    <sheet name="Sheet1" sheetId="1" r:id="rId1"/>
  </sheets>
  <definedNames>
    <definedName name="_xlnm._FilterDatabase" localSheetId="0" hidden="1">Sheet1!$A$1:$Y$64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2" i="1"/>
</calcChain>
</file>

<file path=xl/sharedStrings.xml><?xml version="1.0" encoding="utf-8"?>
<sst xmlns="http://schemas.openxmlformats.org/spreadsheetml/2006/main" count="916" uniqueCount="200">
  <si>
    <t>ORD-2025-10007</t>
  </si>
  <si>
    <t>Duplicate</t>
  </si>
  <si>
    <t>CUST-3656</t>
  </si>
  <si>
    <t>Neha Gupta</t>
  </si>
  <si>
    <t>Consumer</t>
  </si>
  <si>
    <t>East</t>
  </si>
  <si>
    <t>Odisha</t>
  </si>
  <si>
    <t>Bhubaneswar</t>
  </si>
  <si>
    <t>Technology</t>
  </si>
  <si>
    <t>Copiers</t>
  </si>
  <si>
    <t>Eco Copiers 790</t>
  </si>
  <si>
    <t>Standard Class</t>
  </si>
  <si>
    <t>Paid</t>
  </si>
  <si>
    <t>Completed</t>
  </si>
  <si>
    <t>Ship dates earlier than order dates</t>
  </si>
  <si>
    <t>ORD-2025-10091</t>
  </si>
  <si>
    <t>CUST-5909</t>
  </si>
  <si>
    <t>Aarav Sharma</t>
  </si>
  <si>
    <t>Small Business</t>
  </si>
  <si>
    <t>Bihar</t>
  </si>
  <si>
    <t>Patna</t>
  </si>
  <si>
    <t>Smart Copiers 556</t>
  </si>
  <si>
    <t>First Class</t>
  </si>
  <si>
    <t>ORD-2024-10124</t>
  </si>
  <si>
    <t>CUST-1007</t>
  </si>
  <si>
    <t>Sneha Kapoor</t>
  </si>
  <si>
    <t>North</t>
  </si>
  <si>
    <t>Punjab</t>
  </si>
  <si>
    <t>Ludhiana</t>
  </si>
  <si>
    <t>Max Copiers 970</t>
  </si>
  <si>
    <t>Same Day</t>
  </si>
  <si>
    <t>Refunded</t>
  </si>
  <si>
    <t>Cancelled</t>
  </si>
  <si>
    <t>ORD-2025-10128</t>
  </si>
  <si>
    <t>CUST-6802</t>
  </si>
  <si>
    <t>Priya Menon</t>
  </si>
  <si>
    <t>Corporate</t>
  </si>
  <si>
    <t>West</t>
  </si>
  <si>
    <t>Madhya Pradesh</t>
  </si>
  <si>
    <t>Indore</t>
  </si>
  <si>
    <t>Office Supplies</t>
  </si>
  <si>
    <t>Storage</t>
  </si>
  <si>
    <t>Basic Storage 321</t>
  </si>
  <si>
    <t>Second Class</t>
  </si>
  <si>
    <t>ORD-2024-10134</t>
  </si>
  <si>
    <t>CUST-9441</t>
  </si>
  <si>
    <t>Karan Malhotra</t>
  </si>
  <si>
    <t>Goa</t>
  </si>
  <si>
    <t>Panaji</t>
  </si>
  <si>
    <t>Phones</t>
  </si>
  <si>
    <t>Prime Phones 419</t>
  </si>
  <si>
    <t>ORD-2024-10143</t>
  </si>
  <si>
    <t>CUST-8944</t>
  </si>
  <si>
    <t>Aditi Sen</t>
  </si>
  <si>
    <t>Home Office</t>
  </si>
  <si>
    <t>Rajasthan</t>
  </si>
  <si>
    <t>Jaipur</t>
  </si>
  <si>
    <t>Classic Phones 142</t>
  </si>
  <si>
    <t>ORD-2025-10171</t>
  </si>
  <si>
    <t>CUST-3734</t>
  </si>
  <si>
    <t>Rohan Mehta</t>
  </si>
  <si>
    <t>Eco Copiers 102</t>
  </si>
  <si>
    <t>ORD-2025-10225</t>
  </si>
  <si>
    <t>CUST-9871</t>
  </si>
  <si>
    <t>Isha Nair</t>
  </si>
  <si>
    <t>Furniture</t>
  </si>
  <si>
    <t>Furnishings</t>
  </si>
  <si>
    <t>Classic Furnishings 109</t>
  </si>
  <si>
    <t>ORD-2024-10251</t>
  </si>
  <si>
    <t>CUST-5351</t>
  </si>
  <si>
    <t>Arjun Bose</t>
  </si>
  <si>
    <t>West Bengal</t>
  </si>
  <si>
    <t>Kolkata</t>
  </si>
  <si>
    <t>Prime Furnishings 781</t>
  </si>
  <si>
    <t>Pending</t>
  </si>
  <si>
    <t>Returned</t>
  </si>
  <si>
    <t>ORD-2024-10273</t>
  </si>
  <si>
    <t>CUST-7389</t>
  </si>
  <si>
    <t>South</t>
  </si>
  <si>
    <t>Andhra Pradesh</t>
  </si>
  <si>
    <t>Vijayawada</t>
  </si>
  <si>
    <t>Chairs</t>
  </si>
  <si>
    <t>Eco Chairs 314</t>
  </si>
  <si>
    <t>ORD-2024-10277</t>
  </si>
  <si>
    <t>CUST-7039</t>
  </si>
  <si>
    <t/>
  </si>
  <si>
    <t>Assam</t>
  </si>
  <si>
    <t>Guwahati</t>
  </si>
  <si>
    <t>Basic Chairs 141</t>
  </si>
  <si>
    <t>ORD-2024-10281</t>
  </si>
  <si>
    <t>CUST-4098</t>
  </si>
  <si>
    <t>Karnataka</t>
  </si>
  <si>
    <t>Bengaluru</t>
  </si>
  <si>
    <t>Prime Copiers 961</t>
  </si>
  <si>
    <t>ORD-2025-10315</t>
  </si>
  <si>
    <t>CUST-1945</t>
  </si>
  <si>
    <t>Labels</t>
  </si>
  <si>
    <t>Elite Labels 544</t>
  </si>
  <si>
    <t>Failed</t>
  </si>
  <si>
    <t>ORD-2024-10332</t>
  </si>
  <si>
    <t>CUST-9346</t>
  </si>
  <si>
    <t>Binders</t>
  </si>
  <si>
    <t>Smart Binders 939</t>
  </si>
  <si>
    <t>ORD-2025-10336</t>
  </si>
  <si>
    <t>CUST-3621</t>
  </si>
  <si>
    <t>Rahul Verma</t>
  </si>
  <si>
    <t>Paper</t>
  </si>
  <si>
    <t>Prime Paper 559</t>
  </si>
  <si>
    <t>ORD-2025-10374</t>
  </si>
  <si>
    <t>CUST-8566</t>
  </si>
  <si>
    <t>Uttar Pradesh</t>
  </si>
  <si>
    <t>Noida</t>
  </si>
  <si>
    <t>Prime Storage 951</t>
  </si>
  <si>
    <t>ORD-2025-10378</t>
  </si>
  <si>
    <t>CUST-4875</t>
  </si>
  <si>
    <t>Kabir Singh</t>
  </si>
  <si>
    <t>Basic Storage 360</t>
  </si>
  <si>
    <t>ORD-2025-10400</t>
  </si>
  <si>
    <t>CUST-5647</t>
  </si>
  <si>
    <t>Diya Patel</t>
  </si>
  <si>
    <t>Elite Paper 308</t>
  </si>
  <si>
    <t>ORD-2024-10424</t>
  </si>
  <si>
    <t>CUST-6169</t>
  </si>
  <si>
    <t>Kerala</t>
  </si>
  <si>
    <t>Kochi</t>
  </si>
  <si>
    <t>Accessories</t>
  </si>
  <si>
    <t>Prime Accessories 236</t>
  </si>
  <si>
    <t>ORD-2024-10503</t>
  </si>
  <si>
    <t>CUST-1534</t>
  </si>
  <si>
    <t>Prime Copiers 557</t>
  </si>
  <si>
    <t>ORD-2025-10550</t>
  </si>
  <si>
    <t>CUST-6028</t>
  </si>
  <si>
    <t>Mira Das</t>
  </si>
  <si>
    <t>Telangana</t>
  </si>
  <si>
    <t>Hyderabad</t>
  </si>
  <si>
    <t>Art</t>
  </si>
  <si>
    <t>Pro Art 287</t>
  </si>
  <si>
    <t>ORD-2025-10572</t>
  </si>
  <si>
    <t>CUST-3425</t>
  </si>
  <si>
    <t>Prime Phones 895</t>
  </si>
  <si>
    <t>ORD-2024-10599</t>
  </si>
  <si>
    <t>CUST-8498</t>
  </si>
  <si>
    <t>Ananya Rao</t>
  </si>
  <si>
    <t>Eco Copiers 268</t>
  </si>
  <si>
    <t>ORD-2025-10633</t>
  </si>
  <si>
    <t>CUST-4593</t>
  </si>
  <si>
    <t>Smart Furnishings 721</t>
  </si>
  <si>
    <t>ORD-2025-10677</t>
  </si>
  <si>
    <t>CUST-9212</t>
  </si>
  <si>
    <t>Delhi</t>
  </si>
  <si>
    <t>New Delhi</t>
  </si>
  <si>
    <t>Smart Phones 967</t>
  </si>
  <si>
    <t>ORD-2025-10695</t>
  </si>
  <si>
    <t>CUST-8025</t>
  </si>
  <si>
    <t>Classic Storage 291</t>
  </si>
  <si>
    <t>ORD-2024-10705</t>
  </si>
  <si>
    <t>CUST-4916</t>
  </si>
  <si>
    <t>Tamil Nadu</t>
  </si>
  <si>
    <t>Chennai</t>
  </si>
  <si>
    <t>Bookcases</t>
  </si>
  <si>
    <t>Max Bookcases 738</t>
  </si>
  <si>
    <t>ORD-2024-10713</t>
  </si>
  <si>
    <t>CUST-5127</t>
  </si>
  <si>
    <t>Smart Chairs 259</t>
  </si>
  <si>
    <t>ORD-2025-10720</t>
  </si>
  <si>
    <t>CUST-3190</t>
  </si>
  <si>
    <t>Gujarat</t>
  </si>
  <si>
    <t>Ahmedabad</t>
  </si>
  <si>
    <t>Pro Art 447</t>
  </si>
  <si>
    <t>ORD-2025-10730</t>
  </si>
  <si>
    <t>CUST-8713</t>
  </si>
  <si>
    <t>Machines</t>
  </si>
  <si>
    <t>Pro Machines 563</t>
  </si>
  <si>
    <t>ORD-2024-10850</t>
  </si>
  <si>
    <t>CUST-3360</t>
  </si>
  <si>
    <t>Prime Bookcases 755</t>
  </si>
  <si>
    <t>order_id</t>
  </si>
  <si>
    <t>duplicate</t>
  </si>
  <si>
    <t>order_date</t>
  </si>
  <si>
    <t>ship_date</t>
  </si>
  <si>
    <t>shipping_delay_days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</si>
  <si>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</si>
  <si>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</si>
  <si>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</si>
  <si>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</si>
  <si>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</si>
  <si>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</si>
  <si>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</si>
  <si>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</si>
  <si>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</si>
  <si>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</si>
  <si>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</si>
  <si>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</si>
  <si>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</si>
  <si>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</si>
  <si>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</si>
  <si>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</si>
  <si>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</si>
  <si>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</si>
  <si>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data_quality_flag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</si>
</sst>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/mm\/dd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rgb="FF2440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0" fontId="1" fillId="0" borderId="0"/>
    <xf numFmtId="0" fontId="2" fillId="0" borderId="0"/>
    <xf numFmtId="0" fontId="2" fillId="0" borderId="0"/>
  </cellStyleXfs>
  <cellXfs count="18">
    <xf numFmtId="0" fontId="0" fillId="0" borderId="0" xfId="0"/>
    <xf numFmtId="0" fontId="2" fillId="0" borderId="0" xfId="1"/>
    <xf numFmtId="168" fontId="2" fillId="0" borderId="0" xfId="1" applyNumberFormat="1"/>
    <xf numFmtId="1" fontId="2" fillId="0" borderId="0" xfId="1" applyNumberFormat="1"/>
    <xf numFmtId="0" fontId="3" fillId="2" borderId="0" xfId="3" applyFont="1" applyFill="1" applyAlignment="1">
      <alignment horizontal="center" vertical="center" wrapText="1"/>
    </xf>
    <xf numFmtId="0" fontId="3" fillId="3" borderId="0" xfId="3" applyFont="1" applyFill="1" applyAlignment="1">
      <alignment horizontal="center" vertical="center" wrapText="1"/>
    </xf>
    <xf numFmtId="0" fontId="2" fillId="4" borderId="0" xfId="1" applyFill="1"/>
    <xf numFmtId="168" fontId="2" fillId="4" borderId="0" xfId="1" applyNumberFormat="1" applyFill="1"/>
    <xf numFmtId="1" fontId="2" fillId="4" borderId="0" xfId="1" applyNumberFormat="1" applyFill="1"/>
    <xf numFmtId="0" fontId="0" fillId="4" borderId="0" xfId="0" applyFill="1"/>
    <xf numFmtId="0" fontId="2" fillId="0" borderId="0" xfId="1" applyFill="1"/>
    <xf numFmtId="168" fontId="2" fillId="0" borderId="0" xfId="1" applyNumberFormat="1" applyFill="1"/>
    <xf numFmtId="1" fontId="2" fillId="0" borderId="0" xfId="1" applyNumberFormat="1" applyFill="1"/>
    <xf numFmtId="0" fontId="0" fillId="0" borderId="0" xfId="0" applyFill="1"/>
    <xf numFmtId="0" fontId="2" fillId="5" borderId="0" xfId="1" applyFill="1"/>
    <xf numFmtId="168" fontId="2" fillId="5" borderId="0" xfId="1" applyNumberFormat="1" applyFill="1"/>
    <xf numFmtId="1" fontId="2" fillId="5" borderId="0" xfId="1" applyNumberFormat="1" applyFill="1"/>
    <xf numFmtId="0" fontId="0" fillId="5" borderId="0" xfId="0" applyFill="1"/>
  </cellXfs>
  <cellStyles count="5">
    <cellStyle name="Normal" xfId="0" builtinId="0"/>
    <cellStyle name="Normal 2" xfId="3" xr:uid="{FBBFE3E5-06CF-463E-955F-FC601BC3AA1F}"/>
    <cellStyle name="Normal 3" xfId="2" xr:uid="{42D1873D-9BA0-42F5-8575-25A312EAD999}"/>
    <cellStyle name="Normal 4" xfId="4" xr:uid="{3CE3546A-A0A3-43C5-8980-E277BAF02495}"/>
    <cellStyle name="Normal 5" xfId="1" xr:uid="{DB2770D2-8A72-4390-8EC6-D53771A983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E29D9-69FE-40B1-BE29-5D4C5B7A569C}">
  <dimension ref="A1:Y64"/>
  <sheetViews>
    <sheetView tabSelected="1" topLeftCell="A46" workbookViewId="0">
      <selection activeCell="A61" sqref="A61"/>
    </sheetView>
  </sheetViews>
  <sheetFormatPr defaultColWidth="27.33203125" defaultRowHeight="14.4"/>
  <sheetData>
    <row r="1" spans="1:25">
      <c r="A1" s="4" t="s">
        <v>176</v>
      </c>
      <c r="B1" s="4"/>
      <c r="C1" s="5" t="s">
        <v>177</v>
      </c>
      <c r="D1" s="4" t="s">
        <v>178</v>
      </c>
      <c r="E1" s="4" t="s">
        <v>179</v>
      </c>
      <c r="F1" s="5" t="s">
        <v>180</v>
      </c>
      <c r="G1" s="4" t="s">
        <v>181</v>
      </c>
      <c r="H1" s="4" t="s">
        <v>182</v>
      </c>
      <c r="I1" s="4" t="s">
        <v>183</v>
      </c>
      <c r="J1" s="4" t="s">
        <v>184</v>
      </c>
      <c r="K1" s="4" t="s">
        <v>185</v>
      </c>
      <c r="L1" s="4" t="s">
        <v>186</v>
      </c>
      <c r="M1" s="4" t="s">
        <v>187</v>
      </c>
      <c r="N1" s="4" t="s">
        <v>188</v>
      </c>
      <c r="O1" s="4" t="s">
        <v>189</v>
      </c>
      <c r="P1" s="4" t="s">
        <v>190</v>
      </c>
      <c r="Q1" s="4" t="s">
        <v>191</v>
      </c>
      <c r="R1" s="4" t="s">
        <v>192</v>
      </c>
      <c r="S1" s="4" t="s">
        <v>193</v>
      </c>
      <c r="T1" s="4" t="s">
        <v>194</v>
      </c>
      <c r="U1" s="4" t="s">
        <v>195</v>
      </c>
      <c r="V1" s="4" t="s">
        <v>196</v>
      </c>
      <c r="W1" s="4" t="s">
        <v>197</v>
      </c>
      <c r="X1" s="4" t="s">
        <v>198</v>
      </c>
      <c r="Y1" s="5" t="s">
        <v>199</v>
      </c>
    </row>
    <row r="2" spans="1:25" s="17" customFormat="1">
      <c r="A2" s="14" t="s">
        <v>0</v>
      </c>
      <c r="B2" s="14">
        <f>COUNTIF($A$2:$A$1000,A2)</f>
        <v>2</v>
      </c>
      <c r="C2" s="14" t="s">
        <v>1</v>
      </c>
      <c r="D2" s="15">
        <v>45934</v>
      </c>
      <c r="E2" s="15">
        <v>45763</v>
      </c>
      <c r="F2" s="16">
        <v>-171</v>
      </c>
      <c r="G2" s="14" t="s">
        <v>2</v>
      </c>
      <c r="H2" s="14" t="s">
        <v>3</v>
      </c>
      <c r="I2" s="14" t="s">
        <v>4</v>
      </c>
      <c r="J2" s="14" t="s">
        <v>5</v>
      </c>
      <c r="K2" s="14" t="s">
        <v>6</v>
      </c>
      <c r="L2" s="14" t="s">
        <v>7</v>
      </c>
      <c r="M2" s="14" t="s">
        <v>8</v>
      </c>
      <c r="N2" s="14" t="s">
        <v>9</v>
      </c>
      <c r="O2" s="14" t="s">
        <v>10</v>
      </c>
      <c r="P2" s="14" t="s">
        <v>11</v>
      </c>
      <c r="Q2" s="14">
        <v>4</v>
      </c>
      <c r="R2" s="14">
        <v>1719.87</v>
      </c>
      <c r="S2" s="14">
        <v>0.15</v>
      </c>
      <c r="T2" s="14">
        <v>5847.56</v>
      </c>
      <c r="U2" s="14">
        <v>4727.25</v>
      </c>
      <c r="V2" s="14">
        <v>1120.31</v>
      </c>
      <c r="W2" s="14" t="s">
        <v>12</v>
      </c>
      <c r="X2" s="14" t="s">
        <v>13</v>
      </c>
      <c r="Y2" s="14" t="s">
        <v>14</v>
      </c>
    </row>
    <row r="3" spans="1:25" s="9" customFormat="1">
      <c r="A3" s="6" t="s">
        <v>15</v>
      </c>
      <c r="B3" s="6">
        <f t="shared" ref="B3:B64" si="0">COUNTIF($A$2:$A$1000,A3)</f>
        <v>2</v>
      </c>
      <c r="C3" s="6" t="s">
        <v>1</v>
      </c>
      <c r="D3" s="7">
        <v>45893</v>
      </c>
      <c r="E3" s="7">
        <v>45898</v>
      </c>
      <c r="F3" s="8">
        <v>5</v>
      </c>
      <c r="G3" s="6" t="s">
        <v>16</v>
      </c>
      <c r="H3" s="6" t="s">
        <v>17</v>
      </c>
      <c r="I3" s="6" t="s">
        <v>18</v>
      </c>
      <c r="J3" s="6" t="s">
        <v>5</v>
      </c>
      <c r="K3" s="6" t="s">
        <v>19</v>
      </c>
      <c r="L3" s="6" t="s">
        <v>20</v>
      </c>
      <c r="M3" s="6" t="s">
        <v>8</v>
      </c>
      <c r="N3" s="6" t="s">
        <v>9</v>
      </c>
      <c r="O3" s="6" t="s">
        <v>21</v>
      </c>
      <c r="P3" s="6" t="s">
        <v>22</v>
      </c>
      <c r="Q3" s="6">
        <v>3</v>
      </c>
      <c r="R3" s="6">
        <v>3703.96</v>
      </c>
      <c r="S3" s="6">
        <v>0.15</v>
      </c>
      <c r="T3" s="6">
        <v>9445.1</v>
      </c>
      <c r="U3" s="6">
        <v>5586.28</v>
      </c>
      <c r="V3" s="6">
        <v>3858.82</v>
      </c>
      <c r="W3" s="6" t="s">
        <v>12</v>
      </c>
      <c r="X3" s="6" t="s">
        <v>13</v>
      </c>
      <c r="Y3" s="6"/>
    </row>
    <row r="4" spans="1:25" s="17" customFormat="1">
      <c r="A4" s="14" t="s">
        <v>23</v>
      </c>
      <c r="B4" s="14">
        <f t="shared" si="0"/>
        <v>3</v>
      </c>
      <c r="C4" s="14" t="s">
        <v>1</v>
      </c>
      <c r="D4" s="15">
        <v>45436</v>
      </c>
      <c r="E4" s="15">
        <v>45437</v>
      </c>
      <c r="F4" s="16">
        <v>1</v>
      </c>
      <c r="G4" s="14" t="s">
        <v>24</v>
      </c>
      <c r="H4" s="14" t="s">
        <v>25</v>
      </c>
      <c r="I4" s="14" t="s">
        <v>18</v>
      </c>
      <c r="J4" s="14" t="s">
        <v>26</v>
      </c>
      <c r="K4" s="14" t="s">
        <v>27</v>
      </c>
      <c r="L4" s="14" t="s">
        <v>28</v>
      </c>
      <c r="M4" s="14" t="s">
        <v>8</v>
      </c>
      <c r="N4" s="14" t="s">
        <v>9</v>
      </c>
      <c r="O4" s="14" t="s">
        <v>29</v>
      </c>
      <c r="P4" s="14" t="s">
        <v>30</v>
      </c>
      <c r="Q4" s="14">
        <v>1</v>
      </c>
      <c r="R4" s="14">
        <v>634.13</v>
      </c>
      <c r="S4" s="14">
        <v>0</v>
      </c>
      <c r="T4" s="14">
        <v>634.13</v>
      </c>
      <c r="U4" s="14">
        <v>453.35</v>
      </c>
      <c r="V4" s="14">
        <v>180.78</v>
      </c>
      <c r="W4" s="14" t="s">
        <v>31</v>
      </c>
      <c r="X4" s="14" t="s">
        <v>32</v>
      </c>
      <c r="Y4" s="14"/>
    </row>
    <row r="5" spans="1:25" s="17" customFormat="1">
      <c r="A5" s="14" t="s">
        <v>33</v>
      </c>
      <c r="B5" s="14">
        <f t="shared" si="0"/>
        <v>2</v>
      </c>
      <c r="C5" s="14" t="s">
        <v>1</v>
      </c>
      <c r="D5" s="15">
        <v>45687</v>
      </c>
      <c r="E5" s="15">
        <v>45683</v>
      </c>
      <c r="F5" s="16">
        <v>-4</v>
      </c>
      <c r="G5" s="14" t="s">
        <v>34</v>
      </c>
      <c r="H5" s="14" t="s">
        <v>35</v>
      </c>
      <c r="I5" s="14" t="s">
        <v>36</v>
      </c>
      <c r="J5" s="14" t="s">
        <v>37</v>
      </c>
      <c r="K5" s="14" t="s">
        <v>38</v>
      </c>
      <c r="L5" s="14" t="s">
        <v>39</v>
      </c>
      <c r="M5" s="14" t="s">
        <v>40</v>
      </c>
      <c r="N5" s="14" t="s">
        <v>41</v>
      </c>
      <c r="O5" s="14" t="s">
        <v>42</v>
      </c>
      <c r="P5" s="14" t="s">
        <v>43</v>
      </c>
      <c r="Q5" s="14">
        <v>2</v>
      </c>
      <c r="R5" s="14">
        <v>3039.3</v>
      </c>
      <c r="S5" s="14">
        <v>0.05</v>
      </c>
      <c r="T5" s="14">
        <v>5774.67</v>
      </c>
      <c r="U5" s="14">
        <v>3518.36</v>
      </c>
      <c r="V5" s="14">
        <v>2256.31</v>
      </c>
      <c r="W5" s="14" t="s">
        <v>12</v>
      </c>
      <c r="X5" s="14" t="s">
        <v>13</v>
      </c>
      <c r="Y5" s="14" t="s">
        <v>14</v>
      </c>
    </row>
    <row r="6" spans="1:25" s="17" customFormat="1">
      <c r="A6" s="14" t="s">
        <v>44</v>
      </c>
      <c r="B6" s="14">
        <f t="shared" si="0"/>
        <v>2</v>
      </c>
      <c r="C6" s="14" t="s">
        <v>1</v>
      </c>
      <c r="D6" s="15">
        <v>45639</v>
      </c>
      <c r="E6" s="15">
        <v>45644</v>
      </c>
      <c r="F6" s="16">
        <v>5</v>
      </c>
      <c r="G6" s="14" t="s">
        <v>45</v>
      </c>
      <c r="H6" s="14" t="s">
        <v>46</v>
      </c>
      <c r="I6" s="14" t="s">
        <v>4</v>
      </c>
      <c r="J6" s="14" t="s">
        <v>37</v>
      </c>
      <c r="K6" s="14" t="s">
        <v>47</v>
      </c>
      <c r="L6" s="14" t="s">
        <v>48</v>
      </c>
      <c r="M6" s="14" t="s">
        <v>8</v>
      </c>
      <c r="N6" s="14" t="s">
        <v>49</v>
      </c>
      <c r="O6" s="14" t="s">
        <v>50</v>
      </c>
      <c r="P6" s="14" t="s">
        <v>43</v>
      </c>
      <c r="Q6" s="14">
        <v>8</v>
      </c>
      <c r="R6" s="14">
        <v>3372.15</v>
      </c>
      <c r="S6" s="14">
        <v>0.15</v>
      </c>
      <c r="T6" s="14">
        <v>22930.62</v>
      </c>
      <c r="U6" s="14">
        <v>16875.55</v>
      </c>
      <c r="V6" s="14">
        <v>6055.07</v>
      </c>
      <c r="W6" s="14" t="s">
        <v>12</v>
      </c>
      <c r="X6" s="14" t="s">
        <v>13</v>
      </c>
      <c r="Y6" s="14"/>
    </row>
    <row r="7" spans="1:25" s="9" customFormat="1">
      <c r="A7" s="6" t="s">
        <v>51</v>
      </c>
      <c r="B7" s="6">
        <f t="shared" si="0"/>
        <v>2</v>
      </c>
      <c r="C7" s="6" t="s">
        <v>1</v>
      </c>
      <c r="D7" s="7">
        <v>45381</v>
      </c>
      <c r="E7" s="7">
        <v>45377</v>
      </c>
      <c r="F7" s="8">
        <v>-4</v>
      </c>
      <c r="G7" s="6" t="s">
        <v>52</v>
      </c>
      <c r="H7" s="6" t="s">
        <v>53</v>
      </c>
      <c r="I7" s="6" t="s">
        <v>54</v>
      </c>
      <c r="J7" s="6" t="s">
        <v>26</v>
      </c>
      <c r="K7" s="6" t="s">
        <v>55</v>
      </c>
      <c r="L7" s="6" t="s">
        <v>56</v>
      </c>
      <c r="M7" s="6" t="s">
        <v>8</v>
      </c>
      <c r="N7" s="6" t="s">
        <v>49</v>
      </c>
      <c r="O7" s="6" t="s">
        <v>57</v>
      </c>
      <c r="P7" s="6" t="s">
        <v>43</v>
      </c>
      <c r="Q7" s="6">
        <v>5</v>
      </c>
      <c r="R7" s="6">
        <v>907.54</v>
      </c>
      <c r="S7" s="6">
        <v>0.15</v>
      </c>
      <c r="T7" s="6">
        <v>3857.04</v>
      </c>
      <c r="U7" s="6">
        <v>2769.26</v>
      </c>
      <c r="V7" s="6">
        <v>1087.78</v>
      </c>
      <c r="W7" s="6" t="s">
        <v>12</v>
      </c>
      <c r="X7" s="6" t="s">
        <v>13</v>
      </c>
      <c r="Y7" s="6" t="s">
        <v>14</v>
      </c>
    </row>
    <row r="8" spans="1:25" s="9" customFormat="1">
      <c r="A8" s="6" t="s">
        <v>58</v>
      </c>
      <c r="B8" s="6">
        <f t="shared" si="0"/>
        <v>2</v>
      </c>
      <c r="C8" s="6" t="s">
        <v>1</v>
      </c>
      <c r="D8" s="7">
        <v>45907</v>
      </c>
      <c r="E8" s="7">
        <v>45915</v>
      </c>
      <c r="F8" s="8">
        <v>8</v>
      </c>
      <c r="G8" s="6" t="s">
        <v>59</v>
      </c>
      <c r="H8" s="6" t="s">
        <v>60</v>
      </c>
      <c r="I8" s="6" t="s">
        <v>36</v>
      </c>
      <c r="J8" s="6" t="s">
        <v>5</v>
      </c>
      <c r="K8" s="6" t="s">
        <v>19</v>
      </c>
      <c r="L8" s="6" t="s">
        <v>20</v>
      </c>
      <c r="M8" s="6" t="s">
        <v>8</v>
      </c>
      <c r="N8" s="6" t="s">
        <v>9</v>
      </c>
      <c r="O8" s="6" t="s">
        <v>61</v>
      </c>
      <c r="P8" s="6" t="s">
        <v>11</v>
      </c>
      <c r="Q8" s="6">
        <v>3</v>
      </c>
      <c r="R8" s="6">
        <v>1711.32</v>
      </c>
      <c r="S8" s="6">
        <v>0</v>
      </c>
      <c r="T8" s="6">
        <v>5133.96</v>
      </c>
      <c r="U8" s="6">
        <v>3930</v>
      </c>
      <c r="V8" s="6">
        <v>1203.96</v>
      </c>
      <c r="W8" s="6" t="s">
        <v>12</v>
      </c>
      <c r="X8" s="6" t="s">
        <v>13</v>
      </c>
      <c r="Y8" s="6"/>
    </row>
    <row r="9" spans="1:25" s="9" customFormat="1">
      <c r="A9" s="6" t="s">
        <v>62</v>
      </c>
      <c r="B9" s="6">
        <f t="shared" si="0"/>
        <v>2</v>
      </c>
      <c r="C9" s="6" t="s">
        <v>1</v>
      </c>
      <c r="D9" s="7">
        <v>45698</v>
      </c>
      <c r="E9" s="7">
        <v>45938</v>
      </c>
      <c r="F9" s="8">
        <v>240</v>
      </c>
      <c r="G9" s="6" t="s">
        <v>63</v>
      </c>
      <c r="H9" s="6" t="s">
        <v>64</v>
      </c>
      <c r="I9" s="6" t="s">
        <v>18</v>
      </c>
      <c r="J9" s="6" t="s">
        <v>26</v>
      </c>
      <c r="K9" s="6" t="s">
        <v>27</v>
      </c>
      <c r="L9" s="6" t="s">
        <v>28</v>
      </c>
      <c r="M9" s="6" t="s">
        <v>65</v>
      </c>
      <c r="N9" s="6" t="s">
        <v>66</v>
      </c>
      <c r="O9" s="6" t="s">
        <v>67</v>
      </c>
      <c r="P9" s="6" t="s">
        <v>11</v>
      </c>
      <c r="Q9" s="6">
        <v>4</v>
      </c>
      <c r="R9" s="6">
        <v>3944.64</v>
      </c>
      <c r="S9" s="6">
        <v>0.25</v>
      </c>
      <c r="T9" s="6">
        <v>11833.92</v>
      </c>
      <c r="U9" s="6">
        <v>6682.92</v>
      </c>
      <c r="V9" s="6">
        <v>5151</v>
      </c>
      <c r="W9" s="6" t="s">
        <v>12</v>
      </c>
      <c r="X9" s="6" t="s">
        <v>32</v>
      </c>
      <c r="Y9" s="6"/>
    </row>
    <row r="10" spans="1:25" s="17" customFormat="1">
      <c r="A10" s="14" t="s">
        <v>68</v>
      </c>
      <c r="B10" s="14">
        <f t="shared" si="0"/>
        <v>2</v>
      </c>
      <c r="C10" s="14" t="s">
        <v>1</v>
      </c>
      <c r="D10" s="15">
        <v>45343</v>
      </c>
      <c r="E10" s="15">
        <v>45349</v>
      </c>
      <c r="F10" s="16">
        <v>6</v>
      </c>
      <c r="G10" s="14" t="s">
        <v>69</v>
      </c>
      <c r="H10" s="14" t="s">
        <v>70</v>
      </c>
      <c r="I10" s="14" t="s">
        <v>18</v>
      </c>
      <c r="J10" s="14" t="s">
        <v>5</v>
      </c>
      <c r="K10" s="14" t="s">
        <v>71</v>
      </c>
      <c r="L10" s="14" t="s">
        <v>72</v>
      </c>
      <c r="M10" s="14" t="s">
        <v>65</v>
      </c>
      <c r="N10" s="14" t="s">
        <v>66</v>
      </c>
      <c r="O10" s="14" t="s">
        <v>73</v>
      </c>
      <c r="P10" s="14" t="s">
        <v>11</v>
      </c>
      <c r="Q10" s="14">
        <v>5</v>
      </c>
      <c r="R10" s="14">
        <v>3373.86</v>
      </c>
      <c r="S10" s="14">
        <v>0.15</v>
      </c>
      <c r="T10" s="14">
        <v>14338.9</v>
      </c>
      <c r="U10" s="14">
        <v>11897.65</v>
      </c>
      <c r="V10" s="14">
        <v>2441.25</v>
      </c>
      <c r="W10" s="14" t="s">
        <v>74</v>
      </c>
      <c r="X10" s="14" t="s">
        <v>75</v>
      </c>
      <c r="Y10" s="14"/>
    </row>
    <row r="11" spans="1:25" s="9" customFormat="1">
      <c r="A11" s="6" t="s">
        <v>76</v>
      </c>
      <c r="B11" s="6">
        <f t="shared" si="0"/>
        <v>2</v>
      </c>
      <c r="C11" s="6" t="s">
        <v>1</v>
      </c>
      <c r="D11" s="7">
        <v>45522</v>
      </c>
      <c r="E11" s="7">
        <v>45528</v>
      </c>
      <c r="F11" s="8">
        <v>6</v>
      </c>
      <c r="G11" s="6" t="s">
        <v>77</v>
      </c>
      <c r="H11" s="6" t="s">
        <v>70</v>
      </c>
      <c r="I11" s="6" t="s">
        <v>4</v>
      </c>
      <c r="J11" s="6" t="s">
        <v>78</v>
      </c>
      <c r="K11" s="6" t="s">
        <v>79</v>
      </c>
      <c r="L11" s="6" t="s">
        <v>80</v>
      </c>
      <c r="M11" s="6" t="s">
        <v>65</v>
      </c>
      <c r="N11" s="6" t="s">
        <v>81</v>
      </c>
      <c r="O11" s="6" t="s">
        <v>82</v>
      </c>
      <c r="P11" s="6" t="s">
        <v>22</v>
      </c>
      <c r="Q11" s="6">
        <v>7</v>
      </c>
      <c r="R11" s="6">
        <v>557.21</v>
      </c>
      <c r="S11" s="6">
        <v>0.1</v>
      </c>
      <c r="T11" s="6">
        <v>3510.42</v>
      </c>
      <c r="U11" s="6">
        <v>2191.5</v>
      </c>
      <c r="V11" s="6">
        <v>1213.48</v>
      </c>
      <c r="W11" s="6" t="s">
        <v>12</v>
      </c>
      <c r="X11" s="6" t="s">
        <v>13</v>
      </c>
      <c r="Y11" s="6"/>
    </row>
    <row r="12" spans="1:25" s="17" customFormat="1">
      <c r="A12" s="14" t="s">
        <v>83</v>
      </c>
      <c r="B12" s="14">
        <f t="shared" si="0"/>
        <v>2</v>
      </c>
      <c r="C12" s="14" t="s">
        <v>1</v>
      </c>
      <c r="D12" s="15">
        <v>45313</v>
      </c>
      <c r="E12" s="15">
        <v>45314</v>
      </c>
      <c r="F12" s="16">
        <v>1</v>
      </c>
      <c r="G12" s="14" t="s">
        <v>84</v>
      </c>
      <c r="H12" s="14" t="s">
        <v>17</v>
      </c>
      <c r="I12" s="14" t="s">
        <v>18</v>
      </c>
      <c r="J12" s="14" t="s">
        <v>85</v>
      </c>
      <c r="K12" s="14" t="s">
        <v>86</v>
      </c>
      <c r="L12" s="14" t="s">
        <v>87</v>
      </c>
      <c r="M12" s="14" t="s">
        <v>65</v>
      </c>
      <c r="N12" s="14" t="s">
        <v>81</v>
      </c>
      <c r="O12" s="14" t="s">
        <v>88</v>
      </c>
      <c r="P12" s="14" t="s">
        <v>43</v>
      </c>
      <c r="Q12" s="14">
        <v>6</v>
      </c>
      <c r="R12" s="14">
        <v>3391.53</v>
      </c>
      <c r="S12" s="14">
        <v>-0.14000000000000001</v>
      </c>
      <c r="T12" s="14">
        <v>15261.89</v>
      </c>
      <c r="U12" s="14">
        <v>8413.5300000000007</v>
      </c>
      <c r="V12" s="14">
        <v>6848.36</v>
      </c>
      <c r="W12" s="14" t="s">
        <v>12</v>
      </c>
      <c r="X12" s="14" t="s">
        <v>13</v>
      </c>
      <c r="Y12" s="14"/>
    </row>
    <row r="13" spans="1:25" s="17" customFormat="1">
      <c r="A13" s="14" t="s">
        <v>89</v>
      </c>
      <c r="B13" s="14">
        <f t="shared" si="0"/>
        <v>2</v>
      </c>
      <c r="C13" s="14" t="s">
        <v>1</v>
      </c>
      <c r="D13" s="15">
        <v>45649</v>
      </c>
      <c r="E13" s="15">
        <v>45652</v>
      </c>
      <c r="F13" s="16">
        <v>3</v>
      </c>
      <c r="G13" s="14" t="s">
        <v>90</v>
      </c>
      <c r="H13" s="14" t="s">
        <v>53</v>
      </c>
      <c r="I13" s="14" t="s">
        <v>4</v>
      </c>
      <c r="J13" s="14" t="s">
        <v>78</v>
      </c>
      <c r="K13" s="14" t="s">
        <v>91</v>
      </c>
      <c r="L13" s="14" t="s">
        <v>92</v>
      </c>
      <c r="M13" s="14" t="s">
        <v>8</v>
      </c>
      <c r="N13" s="14" t="s">
        <v>9</v>
      </c>
      <c r="O13" s="14" t="s">
        <v>93</v>
      </c>
      <c r="P13" s="14" t="s">
        <v>11</v>
      </c>
      <c r="Q13" s="14">
        <v>9</v>
      </c>
      <c r="R13" s="14">
        <v>993.67</v>
      </c>
      <c r="S13" s="14">
        <v>0</v>
      </c>
      <c r="T13" s="14">
        <v>8943.0300000000007</v>
      </c>
      <c r="U13" s="14">
        <v>5165.38</v>
      </c>
      <c r="V13" s="14">
        <v>3777.65</v>
      </c>
      <c r="W13" s="14" t="s">
        <v>12</v>
      </c>
      <c r="X13" s="14" t="s">
        <v>13</v>
      </c>
      <c r="Y13" s="14"/>
    </row>
    <row r="14" spans="1:25" s="9" customFormat="1">
      <c r="A14" s="6" t="s">
        <v>94</v>
      </c>
      <c r="B14" s="6">
        <f t="shared" si="0"/>
        <v>2</v>
      </c>
      <c r="C14" s="6" t="s">
        <v>1</v>
      </c>
      <c r="D14" s="7">
        <v>45795</v>
      </c>
      <c r="E14" s="7">
        <v>45797</v>
      </c>
      <c r="F14" s="8">
        <v>2</v>
      </c>
      <c r="G14" s="6" t="s">
        <v>95</v>
      </c>
      <c r="H14" s="6" t="s">
        <v>64</v>
      </c>
      <c r="I14" s="6" t="s">
        <v>36</v>
      </c>
      <c r="J14" s="6" t="s">
        <v>37</v>
      </c>
      <c r="K14" s="6" t="s">
        <v>38</v>
      </c>
      <c r="L14" s="6" t="s">
        <v>39</v>
      </c>
      <c r="M14" s="6" t="s">
        <v>40</v>
      </c>
      <c r="N14" s="6" t="s">
        <v>96</v>
      </c>
      <c r="O14" s="6" t="s">
        <v>97</v>
      </c>
      <c r="P14" s="6" t="s">
        <v>11</v>
      </c>
      <c r="Q14" s="6">
        <v>9</v>
      </c>
      <c r="R14" s="6">
        <v>847.76</v>
      </c>
      <c r="S14" s="6">
        <v>0.15</v>
      </c>
      <c r="T14" s="6">
        <v>6485.36</v>
      </c>
      <c r="U14" s="6">
        <v>5376.17</v>
      </c>
      <c r="V14" s="6">
        <v>1109.19</v>
      </c>
      <c r="W14" s="6" t="s">
        <v>98</v>
      </c>
      <c r="X14" s="6" t="s">
        <v>75</v>
      </c>
      <c r="Y14" s="6"/>
    </row>
    <row r="15" spans="1:25" s="9" customFormat="1">
      <c r="A15" s="6" t="s">
        <v>99</v>
      </c>
      <c r="B15" s="6">
        <f t="shared" si="0"/>
        <v>2</v>
      </c>
      <c r="C15" s="6" t="s">
        <v>1</v>
      </c>
      <c r="D15" s="7">
        <v>45630</v>
      </c>
      <c r="E15" s="7">
        <v>45632</v>
      </c>
      <c r="F15" s="8">
        <v>2</v>
      </c>
      <c r="G15" s="6" t="s">
        <v>100</v>
      </c>
      <c r="H15" s="6" t="s">
        <v>25</v>
      </c>
      <c r="I15" s="6" t="s">
        <v>54</v>
      </c>
      <c r="J15" s="6" t="s">
        <v>5</v>
      </c>
      <c r="K15" s="6" t="s">
        <v>6</v>
      </c>
      <c r="L15" s="6" t="s">
        <v>7</v>
      </c>
      <c r="M15" s="6" t="s">
        <v>40</v>
      </c>
      <c r="N15" s="6" t="s">
        <v>101</v>
      </c>
      <c r="O15" s="6" t="s">
        <v>102</v>
      </c>
      <c r="P15" s="6" t="s">
        <v>43</v>
      </c>
      <c r="Q15" s="6">
        <v>4</v>
      </c>
      <c r="R15" s="6">
        <v>2685.66</v>
      </c>
      <c r="S15" s="6">
        <v>0</v>
      </c>
      <c r="T15" s="6">
        <v>10742.64</v>
      </c>
      <c r="U15" s="6">
        <v>6477.37</v>
      </c>
      <c r="V15" s="6">
        <v>4265.2700000000004</v>
      </c>
      <c r="W15" s="6" t="s">
        <v>12</v>
      </c>
      <c r="X15" s="6" t="s">
        <v>75</v>
      </c>
      <c r="Y15" s="6"/>
    </row>
    <row r="16" spans="1:25" s="9" customFormat="1">
      <c r="A16" s="6" t="s">
        <v>103</v>
      </c>
      <c r="B16" s="6">
        <f t="shared" si="0"/>
        <v>2</v>
      </c>
      <c r="C16" s="6" t="s">
        <v>1</v>
      </c>
      <c r="D16" s="7">
        <v>45824</v>
      </c>
      <c r="E16" s="7">
        <v>45826</v>
      </c>
      <c r="F16" s="8">
        <v>2</v>
      </c>
      <c r="G16" s="6" t="s">
        <v>104</v>
      </c>
      <c r="H16" s="6" t="s">
        <v>105</v>
      </c>
      <c r="I16" s="6" t="s">
        <v>54</v>
      </c>
      <c r="J16" s="6" t="s">
        <v>37</v>
      </c>
      <c r="K16" s="6" t="s">
        <v>38</v>
      </c>
      <c r="L16" s="6" t="s">
        <v>39</v>
      </c>
      <c r="M16" s="6" t="s">
        <v>40</v>
      </c>
      <c r="N16" s="6" t="s">
        <v>106</v>
      </c>
      <c r="O16" s="6" t="s">
        <v>107</v>
      </c>
      <c r="P16" s="6" t="s">
        <v>22</v>
      </c>
      <c r="Q16" s="6">
        <v>3</v>
      </c>
      <c r="R16" s="6">
        <v>4289.37</v>
      </c>
      <c r="S16" s="6">
        <v>0.1</v>
      </c>
      <c r="T16" s="6">
        <v>11581.3</v>
      </c>
      <c r="U16" s="6">
        <v>6829.43</v>
      </c>
      <c r="V16" s="6">
        <v>4751.87</v>
      </c>
      <c r="W16" s="6" t="s">
        <v>12</v>
      </c>
      <c r="X16" s="6" t="s">
        <v>13</v>
      </c>
      <c r="Y16" s="6"/>
    </row>
    <row r="17" spans="1:25" s="9" customFormat="1">
      <c r="A17" s="6" t="s">
        <v>108</v>
      </c>
      <c r="B17" s="6">
        <f t="shared" si="0"/>
        <v>2</v>
      </c>
      <c r="C17" s="6" t="s">
        <v>1</v>
      </c>
      <c r="D17" s="7">
        <v>45760</v>
      </c>
      <c r="E17" s="7">
        <v>45760</v>
      </c>
      <c r="F17" s="8">
        <v>0</v>
      </c>
      <c r="G17" s="6" t="s">
        <v>109</v>
      </c>
      <c r="H17" s="6" t="s">
        <v>25</v>
      </c>
      <c r="I17" s="6" t="s">
        <v>18</v>
      </c>
      <c r="J17" s="6" t="s">
        <v>26</v>
      </c>
      <c r="K17" s="6" t="s">
        <v>110</v>
      </c>
      <c r="L17" s="6" t="s">
        <v>111</v>
      </c>
      <c r="M17" s="6" t="s">
        <v>40</v>
      </c>
      <c r="N17" s="6" t="s">
        <v>41</v>
      </c>
      <c r="O17" s="6" t="s">
        <v>112</v>
      </c>
      <c r="P17" s="6" t="s">
        <v>43</v>
      </c>
      <c r="Q17" s="6">
        <v>9</v>
      </c>
      <c r="R17" s="6">
        <v>1118.68</v>
      </c>
      <c r="S17" s="6">
        <v>0</v>
      </c>
      <c r="T17" s="6">
        <v>10068.120000000001</v>
      </c>
      <c r="U17" s="6">
        <v>8595.3700000000008</v>
      </c>
      <c r="V17" s="6">
        <v>1472.75</v>
      </c>
      <c r="W17" s="6" t="s">
        <v>12</v>
      </c>
      <c r="X17" s="6" t="s">
        <v>13</v>
      </c>
      <c r="Y17" s="6"/>
    </row>
    <row r="18" spans="1:25" s="17" customFormat="1">
      <c r="A18" s="14" t="s">
        <v>113</v>
      </c>
      <c r="B18" s="14">
        <f t="shared" si="0"/>
        <v>2</v>
      </c>
      <c r="C18" s="14" t="s">
        <v>1</v>
      </c>
      <c r="D18" s="15">
        <v>45801</v>
      </c>
      <c r="E18" s="15">
        <v>45807</v>
      </c>
      <c r="F18" s="16">
        <v>6</v>
      </c>
      <c r="G18" s="14" t="s">
        <v>114</v>
      </c>
      <c r="H18" s="14" t="s">
        <v>115</v>
      </c>
      <c r="I18" s="14" t="s">
        <v>18</v>
      </c>
      <c r="J18" s="14" t="s">
        <v>5</v>
      </c>
      <c r="K18" s="14" t="s">
        <v>6</v>
      </c>
      <c r="L18" s="14" t="s">
        <v>7</v>
      </c>
      <c r="M18" s="14" t="s">
        <v>40</v>
      </c>
      <c r="N18" s="14" t="s">
        <v>41</v>
      </c>
      <c r="O18" s="14" t="s">
        <v>116</v>
      </c>
      <c r="P18" s="14" t="s">
        <v>30</v>
      </c>
      <c r="Q18" s="14">
        <v>1</v>
      </c>
      <c r="R18" s="14">
        <v>2564.7399999999998</v>
      </c>
      <c r="S18" s="14">
        <v>0</v>
      </c>
      <c r="T18" s="14">
        <v>2564.7399999999998</v>
      </c>
      <c r="U18" s="14">
        <v>1754.58</v>
      </c>
      <c r="V18" s="14">
        <v>810.16</v>
      </c>
      <c r="W18" s="14" t="s">
        <v>12</v>
      </c>
      <c r="X18" s="14" t="s">
        <v>13</v>
      </c>
      <c r="Y18" s="14"/>
    </row>
    <row r="19" spans="1:25" s="17" customFormat="1">
      <c r="A19" s="14" t="s">
        <v>117</v>
      </c>
      <c r="B19" s="14">
        <f t="shared" si="0"/>
        <v>2</v>
      </c>
      <c r="C19" s="14" t="s">
        <v>1</v>
      </c>
      <c r="D19" s="15">
        <v>45771</v>
      </c>
      <c r="E19" s="15">
        <v>45776</v>
      </c>
      <c r="F19" s="16">
        <v>5</v>
      </c>
      <c r="G19" s="14" t="s">
        <v>118</v>
      </c>
      <c r="H19" s="14" t="s">
        <v>119</v>
      </c>
      <c r="I19" s="14" t="s">
        <v>18</v>
      </c>
      <c r="J19" s="14" t="s">
        <v>78</v>
      </c>
      <c r="K19" s="14" t="s">
        <v>79</v>
      </c>
      <c r="L19" s="14" t="s">
        <v>80</v>
      </c>
      <c r="M19" s="14" t="s">
        <v>40</v>
      </c>
      <c r="N19" s="14" t="s">
        <v>106</v>
      </c>
      <c r="O19" s="14" t="s">
        <v>120</v>
      </c>
      <c r="P19" s="14" t="s">
        <v>30</v>
      </c>
      <c r="Q19" s="14">
        <v>1</v>
      </c>
      <c r="R19" s="14">
        <v>4358.5</v>
      </c>
      <c r="S19" s="14">
        <v>0.25</v>
      </c>
      <c r="T19" s="14">
        <v>3268.88</v>
      </c>
      <c r="U19" s="14">
        <v>1993.74</v>
      </c>
      <c r="V19" s="14">
        <v>1275.1400000000001</v>
      </c>
      <c r="W19" s="14" t="s">
        <v>12</v>
      </c>
      <c r="X19" s="14" t="s">
        <v>13</v>
      </c>
      <c r="Y19" s="14"/>
    </row>
    <row r="20" spans="1:25" s="9" customFormat="1">
      <c r="A20" s="6" t="s">
        <v>121</v>
      </c>
      <c r="B20" s="6">
        <f t="shared" si="0"/>
        <v>2</v>
      </c>
      <c r="C20" s="6" t="s">
        <v>1</v>
      </c>
      <c r="D20" s="7">
        <v>45342</v>
      </c>
      <c r="E20" s="7">
        <v>45349</v>
      </c>
      <c r="F20" s="8">
        <v>7</v>
      </c>
      <c r="G20" s="6" t="s">
        <v>122</v>
      </c>
      <c r="H20" s="6" t="s">
        <v>119</v>
      </c>
      <c r="I20" s="6" t="s">
        <v>4</v>
      </c>
      <c r="J20" s="6" t="s">
        <v>78</v>
      </c>
      <c r="K20" s="6" t="s">
        <v>123</v>
      </c>
      <c r="L20" s="6" t="s">
        <v>124</v>
      </c>
      <c r="M20" s="6" t="s">
        <v>8</v>
      </c>
      <c r="N20" s="6" t="s">
        <v>125</v>
      </c>
      <c r="O20" s="6" t="s">
        <v>126</v>
      </c>
      <c r="P20" s="6" t="s">
        <v>22</v>
      </c>
      <c r="Q20" s="6">
        <v>9</v>
      </c>
      <c r="R20" s="6">
        <v>3779.31</v>
      </c>
      <c r="S20" s="6">
        <v>0.2</v>
      </c>
      <c r="T20" s="6">
        <v>27211.03</v>
      </c>
      <c r="U20" s="6">
        <v>17940.43</v>
      </c>
      <c r="V20" s="6">
        <v>9270.6</v>
      </c>
      <c r="W20" s="6" t="s">
        <v>12</v>
      </c>
      <c r="X20" s="6" t="s">
        <v>13</v>
      </c>
      <c r="Y20" s="6"/>
    </row>
    <row r="21" spans="1:25" s="17" customFormat="1">
      <c r="A21" s="14" t="s">
        <v>127</v>
      </c>
      <c r="B21" s="14">
        <f t="shared" si="0"/>
        <v>2</v>
      </c>
      <c r="C21" s="14" t="s">
        <v>1</v>
      </c>
      <c r="D21" s="15">
        <v>45295</v>
      </c>
      <c r="E21" s="15">
        <v>45391</v>
      </c>
      <c r="F21" s="16">
        <v>96</v>
      </c>
      <c r="G21" s="14" t="s">
        <v>128</v>
      </c>
      <c r="H21" s="14" t="s">
        <v>35</v>
      </c>
      <c r="I21" s="14" t="s">
        <v>18</v>
      </c>
      <c r="J21" s="14" t="s">
        <v>5</v>
      </c>
      <c r="K21" s="14" t="s">
        <v>6</v>
      </c>
      <c r="L21" s="14" t="s">
        <v>7</v>
      </c>
      <c r="M21" s="14" t="s">
        <v>8</v>
      </c>
      <c r="N21" s="14" t="s">
        <v>9</v>
      </c>
      <c r="O21" s="14" t="s">
        <v>129</v>
      </c>
      <c r="P21" s="14" t="s">
        <v>43</v>
      </c>
      <c r="Q21" s="14">
        <v>6</v>
      </c>
      <c r="R21" s="14">
        <v>826.93</v>
      </c>
      <c r="S21" s="14">
        <v>0.1</v>
      </c>
      <c r="T21" s="14">
        <v>4465.42</v>
      </c>
      <c r="U21" s="14">
        <v>3377.1</v>
      </c>
      <c r="V21" s="14">
        <v>1088.32</v>
      </c>
      <c r="W21" s="14" t="s">
        <v>12</v>
      </c>
      <c r="X21" s="14" t="s">
        <v>13</v>
      </c>
      <c r="Y21" s="14"/>
    </row>
    <row r="22" spans="1:25" s="17" customFormat="1">
      <c r="A22" s="14" t="s">
        <v>130</v>
      </c>
      <c r="B22" s="14">
        <f t="shared" si="0"/>
        <v>2</v>
      </c>
      <c r="C22" s="14" t="s">
        <v>1</v>
      </c>
      <c r="D22" s="15">
        <v>45971</v>
      </c>
      <c r="E22" s="15">
        <v>45943</v>
      </c>
      <c r="F22" s="16">
        <v>-28</v>
      </c>
      <c r="G22" s="14" t="s">
        <v>131</v>
      </c>
      <c r="H22" s="14" t="s">
        <v>132</v>
      </c>
      <c r="I22" s="14" t="s">
        <v>36</v>
      </c>
      <c r="J22" s="14" t="s">
        <v>78</v>
      </c>
      <c r="K22" s="14" t="s">
        <v>133</v>
      </c>
      <c r="L22" s="14" t="s">
        <v>134</v>
      </c>
      <c r="M22" s="14" t="s">
        <v>40</v>
      </c>
      <c r="N22" s="14" t="s">
        <v>135</v>
      </c>
      <c r="O22" s="14" t="s">
        <v>136</v>
      </c>
      <c r="P22" s="14" t="s">
        <v>43</v>
      </c>
      <c r="Q22" s="14">
        <v>3</v>
      </c>
      <c r="R22" s="14">
        <v>3804.27</v>
      </c>
      <c r="S22" s="14">
        <v>0.1</v>
      </c>
      <c r="T22" s="14">
        <v>10271.530000000001</v>
      </c>
      <c r="U22" s="14">
        <v>8272.24</v>
      </c>
      <c r="V22" s="14">
        <v>1999.29</v>
      </c>
      <c r="W22" s="14" t="s">
        <v>12</v>
      </c>
      <c r="X22" s="14" t="s">
        <v>13</v>
      </c>
      <c r="Y22" s="14" t="s">
        <v>14</v>
      </c>
    </row>
    <row r="23" spans="1:25" s="9" customFormat="1">
      <c r="A23" s="6" t="s">
        <v>137</v>
      </c>
      <c r="B23" s="6">
        <f t="shared" si="0"/>
        <v>2</v>
      </c>
      <c r="C23" s="6" t="s">
        <v>1</v>
      </c>
      <c r="D23" s="7">
        <v>45698</v>
      </c>
      <c r="E23" s="7">
        <v>45702</v>
      </c>
      <c r="F23" s="8">
        <v>4</v>
      </c>
      <c r="G23" s="6" t="s">
        <v>138</v>
      </c>
      <c r="H23" s="6" t="s">
        <v>35</v>
      </c>
      <c r="I23" s="6" t="s">
        <v>18</v>
      </c>
      <c r="J23" s="6" t="s">
        <v>26</v>
      </c>
      <c r="K23" s="6" t="s">
        <v>110</v>
      </c>
      <c r="L23" s="6" t="s">
        <v>111</v>
      </c>
      <c r="M23" s="6" t="s">
        <v>8</v>
      </c>
      <c r="N23" s="6" t="s">
        <v>49</v>
      </c>
      <c r="O23" s="6" t="s">
        <v>139</v>
      </c>
      <c r="P23" s="6" t="s">
        <v>85</v>
      </c>
      <c r="Q23" s="6">
        <v>5</v>
      </c>
      <c r="R23" s="6">
        <v>4276.29</v>
      </c>
      <c r="S23" s="6">
        <v>0</v>
      </c>
      <c r="T23" s="6">
        <v>21381.45</v>
      </c>
      <c r="U23" s="6">
        <v>13240.21</v>
      </c>
      <c r="V23" s="6">
        <v>8141.24</v>
      </c>
      <c r="W23" s="6" t="s">
        <v>98</v>
      </c>
      <c r="X23" s="6" t="s">
        <v>75</v>
      </c>
      <c r="Y23" s="6"/>
    </row>
    <row r="24" spans="1:25" s="17" customFormat="1">
      <c r="A24" s="14" t="s">
        <v>140</v>
      </c>
      <c r="B24" s="14">
        <f t="shared" si="0"/>
        <v>2</v>
      </c>
      <c r="C24" s="14" t="s">
        <v>1</v>
      </c>
      <c r="D24" s="15">
        <v>45521</v>
      </c>
      <c r="E24" s="15">
        <v>45528</v>
      </c>
      <c r="F24" s="16">
        <v>7</v>
      </c>
      <c r="G24" s="14" t="s">
        <v>141</v>
      </c>
      <c r="H24" s="14" t="s">
        <v>142</v>
      </c>
      <c r="I24" s="14" t="s">
        <v>36</v>
      </c>
      <c r="J24" s="14" t="s">
        <v>5</v>
      </c>
      <c r="K24" s="14" t="s">
        <v>71</v>
      </c>
      <c r="L24" s="14" t="s">
        <v>72</v>
      </c>
      <c r="M24" s="14" t="s">
        <v>8</v>
      </c>
      <c r="N24" s="14" t="s">
        <v>9</v>
      </c>
      <c r="O24" s="14" t="s">
        <v>143</v>
      </c>
      <c r="P24" s="14" t="s">
        <v>30</v>
      </c>
      <c r="Q24" s="14">
        <v>3</v>
      </c>
      <c r="R24" s="14">
        <v>1490.69</v>
      </c>
      <c r="S24" s="14">
        <v>0.25</v>
      </c>
      <c r="T24" s="14">
        <v>3354.05</v>
      </c>
      <c r="U24" s="14">
        <v>2672.67</v>
      </c>
      <c r="V24" s="14">
        <v>681.38</v>
      </c>
      <c r="W24" s="14" t="s">
        <v>12</v>
      </c>
      <c r="X24" s="14" t="s">
        <v>13</v>
      </c>
      <c r="Y24" s="14"/>
    </row>
    <row r="25" spans="1:25" s="17" customFormat="1">
      <c r="A25" s="14" t="s">
        <v>144</v>
      </c>
      <c r="B25" s="14">
        <f t="shared" si="0"/>
        <v>2</v>
      </c>
      <c r="C25" s="14" t="s">
        <v>1</v>
      </c>
      <c r="D25" s="15">
        <v>45762</v>
      </c>
      <c r="E25" s="15">
        <v>45763</v>
      </c>
      <c r="F25" s="16">
        <v>1</v>
      </c>
      <c r="G25" s="14" t="s">
        <v>145</v>
      </c>
      <c r="H25" s="14" t="s">
        <v>25</v>
      </c>
      <c r="I25" s="14" t="s">
        <v>18</v>
      </c>
      <c r="J25" s="14" t="s">
        <v>78</v>
      </c>
      <c r="K25" s="14" t="s">
        <v>91</v>
      </c>
      <c r="L25" s="14" t="s">
        <v>92</v>
      </c>
      <c r="M25" s="14" t="s">
        <v>65</v>
      </c>
      <c r="N25" s="14" t="s">
        <v>66</v>
      </c>
      <c r="O25" s="14" t="s">
        <v>146</v>
      </c>
      <c r="P25" s="14" t="s">
        <v>22</v>
      </c>
      <c r="Q25" s="14">
        <v>5</v>
      </c>
      <c r="R25" s="14">
        <v>2850.53</v>
      </c>
      <c r="S25" s="14">
        <v>0</v>
      </c>
      <c r="T25" s="14">
        <v>14252.65</v>
      </c>
      <c r="U25" s="14">
        <v>11558.31</v>
      </c>
      <c r="V25" s="14">
        <v>2694.34</v>
      </c>
      <c r="W25" s="14" t="s">
        <v>12</v>
      </c>
      <c r="X25" s="14" t="s">
        <v>13</v>
      </c>
      <c r="Y25" s="14"/>
    </row>
    <row r="26" spans="1:25" s="17" customFormat="1">
      <c r="A26" s="14" t="s">
        <v>147</v>
      </c>
      <c r="B26" s="14">
        <f t="shared" si="0"/>
        <v>2</v>
      </c>
      <c r="C26" s="14" t="s">
        <v>1</v>
      </c>
      <c r="D26" s="15">
        <v>45970</v>
      </c>
      <c r="E26" s="15">
        <v>45918</v>
      </c>
      <c r="F26" s="16">
        <v>-52</v>
      </c>
      <c r="G26" s="14" t="s">
        <v>148</v>
      </c>
      <c r="H26" s="14" t="s">
        <v>105</v>
      </c>
      <c r="I26" s="14" t="s">
        <v>18</v>
      </c>
      <c r="J26" s="14" t="s">
        <v>26</v>
      </c>
      <c r="K26" s="14" t="s">
        <v>149</v>
      </c>
      <c r="L26" s="14" t="s">
        <v>150</v>
      </c>
      <c r="M26" s="14" t="s">
        <v>8</v>
      </c>
      <c r="N26" s="14" t="s">
        <v>49</v>
      </c>
      <c r="O26" s="14" t="s">
        <v>151</v>
      </c>
      <c r="P26" s="14" t="s">
        <v>30</v>
      </c>
      <c r="Q26" s="14">
        <v>7</v>
      </c>
      <c r="R26" s="14">
        <v>3411.21</v>
      </c>
      <c r="S26" s="14">
        <v>0.15</v>
      </c>
      <c r="T26" s="14">
        <v>20296.7</v>
      </c>
      <c r="U26" s="14">
        <v>14920.87</v>
      </c>
      <c r="V26" s="14">
        <v>5375.83</v>
      </c>
      <c r="W26" s="14" t="s">
        <v>12</v>
      </c>
      <c r="X26" s="14" t="s">
        <v>13</v>
      </c>
      <c r="Y26" s="14" t="s">
        <v>14</v>
      </c>
    </row>
    <row r="27" spans="1:25" s="17" customFormat="1">
      <c r="A27" s="14" t="s">
        <v>152</v>
      </c>
      <c r="B27" s="14">
        <f t="shared" si="0"/>
        <v>2</v>
      </c>
      <c r="C27" s="14" t="s">
        <v>1</v>
      </c>
      <c r="D27" s="15">
        <v>45870</v>
      </c>
      <c r="E27" s="15">
        <v>45878</v>
      </c>
      <c r="F27" s="16">
        <v>8</v>
      </c>
      <c r="G27" s="14" t="s">
        <v>153</v>
      </c>
      <c r="H27" s="14" t="s">
        <v>64</v>
      </c>
      <c r="I27" s="14" t="s">
        <v>4</v>
      </c>
      <c r="J27" s="14" t="s">
        <v>78</v>
      </c>
      <c r="K27" s="14" t="s">
        <v>79</v>
      </c>
      <c r="L27" s="14" t="s">
        <v>80</v>
      </c>
      <c r="M27" s="14" t="s">
        <v>40</v>
      </c>
      <c r="N27" s="14" t="s">
        <v>41</v>
      </c>
      <c r="O27" s="14" t="s">
        <v>154</v>
      </c>
      <c r="P27" s="14" t="s">
        <v>22</v>
      </c>
      <c r="Q27" s="14">
        <v>5</v>
      </c>
      <c r="R27" s="14">
        <v>2736.24</v>
      </c>
      <c r="S27" s="14">
        <v>0.15</v>
      </c>
      <c r="T27" s="14">
        <v>11629.02</v>
      </c>
      <c r="U27" s="14">
        <v>9627.2099999999991</v>
      </c>
      <c r="V27" s="14">
        <v>2001.81</v>
      </c>
      <c r="W27" s="14" t="s">
        <v>12</v>
      </c>
      <c r="X27" s="14" t="s">
        <v>13</v>
      </c>
      <c r="Y27" s="14"/>
    </row>
    <row r="28" spans="1:25" s="17" customFormat="1">
      <c r="A28" s="14" t="s">
        <v>155</v>
      </c>
      <c r="B28" s="14">
        <f t="shared" si="0"/>
        <v>2</v>
      </c>
      <c r="C28" s="14" t="s">
        <v>1</v>
      </c>
      <c r="D28" s="15">
        <v>45364</v>
      </c>
      <c r="E28" s="15">
        <v>45371</v>
      </c>
      <c r="F28" s="16">
        <v>7</v>
      </c>
      <c r="G28" s="14" t="s">
        <v>156</v>
      </c>
      <c r="H28" s="14" t="s">
        <v>35</v>
      </c>
      <c r="I28" s="14" t="s">
        <v>54</v>
      </c>
      <c r="J28" s="14" t="s">
        <v>78</v>
      </c>
      <c r="K28" s="14" t="s">
        <v>157</v>
      </c>
      <c r="L28" s="14" t="s">
        <v>158</v>
      </c>
      <c r="M28" s="14" t="s">
        <v>65</v>
      </c>
      <c r="N28" s="14" t="s">
        <v>159</v>
      </c>
      <c r="O28" s="14" t="s">
        <v>160</v>
      </c>
      <c r="P28" s="14" t="s">
        <v>85</v>
      </c>
      <c r="Q28" s="14">
        <v>1</v>
      </c>
      <c r="R28" s="14">
        <v>2825.63</v>
      </c>
      <c r="S28" s="14">
        <v>0.15</v>
      </c>
      <c r="T28" s="14">
        <v>2401.79</v>
      </c>
      <c r="U28" s="14">
        <v>1820.34</v>
      </c>
      <c r="V28" s="14">
        <v>581.45000000000005</v>
      </c>
      <c r="W28" s="14" t="s">
        <v>12</v>
      </c>
      <c r="X28" s="14" t="s">
        <v>13</v>
      </c>
      <c r="Y28" s="14"/>
    </row>
    <row r="29" spans="1:25" s="17" customFormat="1">
      <c r="A29" s="14" t="s">
        <v>161</v>
      </c>
      <c r="B29" s="14">
        <f t="shared" si="0"/>
        <v>2</v>
      </c>
      <c r="C29" s="14" t="s">
        <v>1</v>
      </c>
      <c r="D29" s="15">
        <v>45332</v>
      </c>
      <c r="E29" s="15">
        <v>45340</v>
      </c>
      <c r="F29" s="16">
        <v>8</v>
      </c>
      <c r="G29" s="14" t="s">
        <v>162</v>
      </c>
      <c r="H29" s="14" t="s">
        <v>64</v>
      </c>
      <c r="I29" s="14" t="s">
        <v>54</v>
      </c>
      <c r="J29" s="14" t="s">
        <v>37</v>
      </c>
      <c r="K29" s="14" t="s">
        <v>38</v>
      </c>
      <c r="L29" s="14" t="s">
        <v>39</v>
      </c>
      <c r="M29" s="14" t="s">
        <v>65</v>
      </c>
      <c r="N29" s="14" t="s">
        <v>81</v>
      </c>
      <c r="O29" s="14" t="s">
        <v>163</v>
      </c>
      <c r="P29" s="14" t="s">
        <v>22</v>
      </c>
      <c r="Q29" s="14">
        <v>7</v>
      </c>
      <c r="R29" s="14">
        <v>1382.86</v>
      </c>
      <c r="S29" s="14">
        <v>0</v>
      </c>
      <c r="T29" s="14">
        <v>9680.02</v>
      </c>
      <c r="U29" s="14">
        <v>6876.66</v>
      </c>
      <c r="V29" s="14">
        <v>2803.36</v>
      </c>
      <c r="W29" s="14" t="s">
        <v>12</v>
      </c>
      <c r="X29" s="14" t="s">
        <v>13</v>
      </c>
      <c r="Y29" s="14"/>
    </row>
    <row r="30" spans="1:25" s="17" customFormat="1">
      <c r="A30" s="14" t="s">
        <v>164</v>
      </c>
      <c r="B30" s="14">
        <f t="shared" si="0"/>
        <v>2</v>
      </c>
      <c r="C30" s="14" t="s">
        <v>1</v>
      </c>
      <c r="D30" s="15">
        <v>45908</v>
      </c>
      <c r="E30" s="15">
        <v>45909</v>
      </c>
      <c r="F30" s="16">
        <v>1</v>
      </c>
      <c r="G30" s="14" t="s">
        <v>165</v>
      </c>
      <c r="H30" s="14" t="s">
        <v>115</v>
      </c>
      <c r="I30" s="14" t="s">
        <v>36</v>
      </c>
      <c r="J30" s="14" t="s">
        <v>37</v>
      </c>
      <c r="K30" s="14" t="s">
        <v>166</v>
      </c>
      <c r="L30" s="14" t="s">
        <v>167</v>
      </c>
      <c r="M30" s="14" t="s">
        <v>40</v>
      </c>
      <c r="N30" s="14" t="s">
        <v>135</v>
      </c>
      <c r="O30" s="14" t="s">
        <v>168</v>
      </c>
      <c r="P30" s="14" t="s">
        <v>30</v>
      </c>
      <c r="Q30" s="14">
        <v>2</v>
      </c>
      <c r="R30" s="14">
        <v>2372.41</v>
      </c>
      <c r="S30" s="14">
        <v>0.2</v>
      </c>
      <c r="T30" s="14">
        <v>3795.86</v>
      </c>
      <c r="U30" s="14">
        <v>2264.92</v>
      </c>
      <c r="V30" s="14">
        <v>1530.94</v>
      </c>
      <c r="W30" s="14" t="s">
        <v>12</v>
      </c>
      <c r="X30" s="14" t="s">
        <v>13</v>
      </c>
      <c r="Y30" s="14"/>
    </row>
    <row r="31" spans="1:25" s="17" customFormat="1">
      <c r="A31" s="14" t="s">
        <v>169</v>
      </c>
      <c r="B31" s="14">
        <f t="shared" si="0"/>
        <v>2</v>
      </c>
      <c r="C31" s="14" t="s">
        <v>1</v>
      </c>
      <c r="D31" s="15">
        <v>45794</v>
      </c>
      <c r="E31" s="15">
        <v>45802</v>
      </c>
      <c r="F31" s="16">
        <v>8</v>
      </c>
      <c r="G31" s="14" t="s">
        <v>170</v>
      </c>
      <c r="H31" s="14" t="s">
        <v>142</v>
      </c>
      <c r="I31" s="14" t="s">
        <v>36</v>
      </c>
      <c r="J31" s="14" t="s">
        <v>78</v>
      </c>
      <c r="K31" s="14" t="s">
        <v>157</v>
      </c>
      <c r="L31" s="14" t="s">
        <v>158</v>
      </c>
      <c r="M31" s="14" t="s">
        <v>8</v>
      </c>
      <c r="N31" s="14" t="s">
        <v>171</v>
      </c>
      <c r="O31" s="14" t="s">
        <v>172</v>
      </c>
      <c r="P31" s="14" t="s">
        <v>30</v>
      </c>
      <c r="Q31" s="14">
        <v>6</v>
      </c>
      <c r="R31" s="14">
        <v>1810.63</v>
      </c>
      <c r="S31" s="14">
        <v>0.15</v>
      </c>
      <c r="T31" s="14">
        <v>9234.2099999999991</v>
      </c>
      <c r="U31" s="14">
        <v>5516.52</v>
      </c>
      <c r="V31" s="14">
        <v>3717.69</v>
      </c>
      <c r="W31" s="14" t="s">
        <v>12</v>
      </c>
      <c r="X31" s="14" t="s">
        <v>13</v>
      </c>
      <c r="Y31" s="14"/>
    </row>
    <row r="32" spans="1:25" s="17" customFormat="1">
      <c r="A32" s="14" t="s">
        <v>173</v>
      </c>
      <c r="B32" s="14">
        <f t="shared" si="0"/>
        <v>2</v>
      </c>
      <c r="C32" s="14" t="s">
        <v>1</v>
      </c>
      <c r="D32" s="15">
        <v>45357</v>
      </c>
      <c r="E32" s="15">
        <v>45363</v>
      </c>
      <c r="F32" s="16">
        <v>6</v>
      </c>
      <c r="G32" s="14" t="s">
        <v>174</v>
      </c>
      <c r="H32" s="14" t="s">
        <v>64</v>
      </c>
      <c r="I32" s="14" t="s">
        <v>54</v>
      </c>
      <c r="J32" s="14" t="s">
        <v>37</v>
      </c>
      <c r="K32" s="14" t="s">
        <v>166</v>
      </c>
      <c r="L32" s="14" t="s">
        <v>167</v>
      </c>
      <c r="M32" s="14" t="s">
        <v>65</v>
      </c>
      <c r="N32" s="14" t="s">
        <v>159</v>
      </c>
      <c r="O32" s="14" t="s">
        <v>175</v>
      </c>
      <c r="P32" s="14" t="s">
        <v>11</v>
      </c>
      <c r="Q32" s="14">
        <v>3</v>
      </c>
      <c r="R32" s="14">
        <v>679.63</v>
      </c>
      <c r="S32" s="14">
        <v>0.2</v>
      </c>
      <c r="T32" s="14">
        <v>1631.11</v>
      </c>
      <c r="U32" s="14">
        <v>898.73</v>
      </c>
      <c r="V32" s="14">
        <v>396.58</v>
      </c>
      <c r="W32" s="14" t="s">
        <v>12</v>
      </c>
      <c r="X32" s="14" t="s">
        <v>13</v>
      </c>
      <c r="Y32" s="14"/>
    </row>
    <row r="33" spans="1:25">
      <c r="A33" s="1" t="s">
        <v>127</v>
      </c>
      <c r="B33" s="1">
        <f t="shared" si="0"/>
        <v>2</v>
      </c>
      <c r="C33" s="1" t="s">
        <v>1</v>
      </c>
      <c r="D33" s="2">
        <v>45295</v>
      </c>
      <c r="E33" s="2">
        <v>45391</v>
      </c>
      <c r="F33" s="3">
        <v>96</v>
      </c>
      <c r="G33" s="1" t="s">
        <v>128</v>
      </c>
      <c r="H33" s="1" t="s">
        <v>35</v>
      </c>
      <c r="I33" s="1" t="s">
        <v>18</v>
      </c>
      <c r="J33" s="1" t="s">
        <v>5</v>
      </c>
      <c r="K33" s="1" t="s">
        <v>6</v>
      </c>
      <c r="L33" s="1" t="s">
        <v>7</v>
      </c>
      <c r="M33" s="1" t="s">
        <v>8</v>
      </c>
      <c r="N33" s="1" t="s">
        <v>9</v>
      </c>
      <c r="O33" s="1" t="s">
        <v>129</v>
      </c>
      <c r="P33" s="1" t="s">
        <v>43</v>
      </c>
      <c r="Q33" s="1">
        <v>6</v>
      </c>
      <c r="R33" s="1">
        <v>826.93</v>
      </c>
      <c r="S33" s="1">
        <v>0.1</v>
      </c>
      <c r="T33" s="1">
        <v>4465.42</v>
      </c>
      <c r="U33" s="1">
        <v>3377.1</v>
      </c>
      <c r="V33" s="1">
        <v>1088.32</v>
      </c>
      <c r="W33" s="1" t="s">
        <v>12</v>
      </c>
      <c r="X33" s="1" t="s">
        <v>13</v>
      </c>
      <c r="Y33" s="1"/>
    </row>
    <row r="34" spans="1:25">
      <c r="A34" s="1" t="s">
        <v>140</v>
      </c>
      <c r="B34" s="1">
        <f t="shared" si="0"/>
        <v>2</v>
      </c>
      <c r="C34" s="1" t="s">
        <v>1</v>
      </c>
      <c r="D34" s="2">
        <v>45521</v>
      </c>
      <c r="E34" s="2">
        <v>45528</v>
      </c>
      <c r="F34" s="3">
        <v>7</v>
      </c>
      <c r="G34" s="1" t="s">
        <v>141</v>
      </c>
      <c r="H34" s="1" t="s">
        <v>142</v>
      </c>
      <c r="I34" s="1" t="s">
        <v>36</v>
      </c>
      <c r="J34" s="1" t="s">
        <v>5</v>
      </c>
      <c r="K34" s="1" t="s">
        <v>71</v>
      </c>
      <c r="L34" s="1" t="s">
        <v>72</v>
      </c>
      <c r="M34" s="1" t="s">
        <v>8</v>
      </c>
      <c r="N34" s="1" t="s">
        <v>9</v>
      </c>
      <c r="O34" s="1" t="s">
        <v>143</v>
      </c>
      <c r="P34" s="1" t="s">
        <v>30</v>
      </c>
      <c r="Q34" s="1">
        <v>3</v>
      </c>
      <c r="R34" s="1">
        <v>1490.69</v>
      </c>
      <c r="S34" s="1">
        <v>0.25</v>
      </c>
      <c r="T34" s="1">
        <v>3354.05</v>
      </c>
      <c r="U34" s="1">
        <v>2672.67</v>
      </c>
      <c r="V34" s="1">
        <v>681.38</v>
      </c>
      <c r="W34" s="1" t="s">
        <v>12</v>
      </c>
      <c r="X34" s="1" t="s">
        <v>13</v>
      </c>
      <c r="Y34" s="1"/>
    </row>
    <row r="35" spans="1:25">
      <c r="A35" s="1" t="s">
        <v>152</v>
      </c>
      <c r="B35" s="1">
        <f t="shared" si="0"/>
        <v>2</v>
      </c>
      <c r="C35" s="1" t="s">
        <v>1</v>
      </c>
      <c r="D35" s="2">
        <v>45870</v>
      </c>
      <c r="E35" s="2">
        <v>45878</v>
      </c>
      <c r="F35" s="3">
        <v>8</v>
      </c>
      <c r="G35" s="1" t="s">
        <v>153</v>
      </c>
      <c r="H35" s="1" t="s">
        <v>64</v>
      </c>
      <c r="I35" s="1" t="s">
        <v>4</v>
      </c>
      <c r="J35" s="1" t="s">
        <v>78</v>
      </c>
      <c r="K35" s="1" t="s">
        <v>79</v>
      </c>
      <c r="L35" s="1" t="s">
        <v>80</v>
      </c>
      <c r="M35" s="1" t="s">
        <v>40</v>
      </c>
      <c r="N35" s="1" t="s">
        <v>41</v>
      </c>
      <c r="O35" s="1" t="s">
        <v>154</v>
      </c>
      <c r="P35" s="1" t="s">
        <v>22</v>
      </c>
      <c r="Q35" s="1">
        <v>5</v>
      </c>
      <c r="R35" s="1">
        <v>2736.24</v>
      </c>
      <c r="S35" s="1">
        <v>0.15</v>
      </c>
      <c r="T35" s="1">
        <v>11629.02</v>
      </c>
      <c r="U35" s="1">
        <v>9627.2099999999991</v>
      </c>
      <c r="V35" s="1">
        <v>2001.81</v>
      </c>
      <c r="W35" s="1" t="s">
        <v>12</v>
      </c>
      <c r="X35" s="1" t="s">
        <v>13</v>
      </c>
      <c r="Y35" s="1"/>
    </row>
    <row r="36" spans="1:25">
      <c r="A36" s="1" t="s">
        <v>155</v>
      </c>
      <c r="B36" s="1">
        <f t="shared" si="0"/>
        <v>2</v>
      </c>
      <c r="C36" s="1" t="s">
        <v>1</v>
      </c>
      <c r="D36" s="2">
        <v>45364</v>
      </c>
      <c r="E36" s="2">
        <v>45371</v>
      </c>
      <c r="F36" s="3">
        <v>7</v>
      </c>
      <c r="G36" s="1" t="s">
        <v>156</v>
      </c>
      <c r="H36" s="1" t="s">
        <v>35</v>
      </c>
      <c r="I36" s="1" t="s">
        <v>54</v>
      </c>
      <c r="J36" s="1" t="s">
        <v>78</v>
      </c>
      <c r="K36" s="1" t="s">
        <v>157</v>
      </c>
      <c r="L36" s="1" t="s">
        <v>158</v>
      </c>
      <c r="M36" s="1" t="s">
        <v>65</v>
      </c>
      <c r="N36" s="1" t="s">
        <v>159</v>
      </c>
      <c r="O36" s="1" t="s">
        <v>160</v>
      </c>
      <c r="P36" s="1" t="s">
        <v>85</v>
      </c>
      <c r="Q36" s="1">
        <v>1</v>
      </c>
      <c r="R36" s="1">
        <v>2825.63</v>
      </c>
      <c r="S36" s="1">
        <v>0.15</v>
      </c>
      <c r="T36" s="1">
        <v>2401.79</v>
      </c>
      <c r="U36" s="1">
        <v>1820.34</v>
      </c>
      <c r="V36" s="1">
        <v>581.45000000000005</v>
      </c>
      <c r="W36" s="1" t="s">
        <v>12</v>
      </c>
      <c r="X36" s="1" t="s">
        <v>13</v>
      </c>
      <c r="Y36" s="1"/>
    </row>
    <row r="37" spans="1:25">
      <c r="A37" s="1" t="s">
        <v>83</v>
      </c>
      <c r="B37" s="1">
        <f t="shared" si="0"/>
        <v>2</v>
      </c>
      <c r="C37" s="1" t="s">
        <v>1</v>
      </c>
      <c r="D37" s="2">
        <v>45313</v>
      </c>
      <c r="E37" s="2">
        <v>45314</v>
      </c>
      <c r="F37" s="3">
        <v>1</v>
      </c>
      <c r="G37" s="1" t="s">
        <v>84</v>
      </c>
      <c r="H37" s="1" t="s">
        <v>17</v>
      </c>
      <c r="I37" s="1" t="s">
        <v>18</v>
      </c>
      <c r="J37" s="1" t="s">
        <v>85</v>
      </c>
      <c r="K37" s="1" t="s">
        <v>86</v>
      </c>
      <c r="L37" s="1" t="s">
        <v>87</v>
      </c>
      <c r="M37" s="1" t="s">
        <v>65</v>
      </c>
      <c r="N37" s="1" t="s">
        <v>81</v>
      </c>
      <c r="O37" s="1" t="s">
        <v>88</v>
      </c>
      <c r="P37" s="1" t="s">
        <v>43</v>
      </c>
      <c r="Q37" s="1">
        <v>6</v>
      </c>
      <c r="R37" s="1">
        <v>3391.53</v>
      </c>
      <c r="S37" s="1">
        <v>-0.14000000000000001</v>
      </c>
      <c r="T37" s="1">
        <v>15261.89</v>
      </c>
      <c r="U37" s="1">
        <v>8413.5300000000007</v>
      </c>
      <c r="V37" s="1">
        <v>6848.36</v>
      </c>
      <c r="W37" s="1" t="s">
        <v>12</v>
      </c>
      <c r="X37" s="1" t="s">
        <v>13</v>
      </c>
      <c r="Y37" s="1"/>
    </row>
    <row r="38" spans="1:25">
      <c r="A38" s="1" t="s">
        <v>144</v>
      </c>
      <c r="B38" s="1">
        <f t="shared" si="0"/>
        <v>2</v>
      </c>
      <c r="C38" s="1" t="s">
        <v>1</v>
      </c>
      <c r="D38" s="2">
        <v>45762</v>
      </c>
      <c r="E38" s="2">
        <v>45763</v>
      </c>
      <c r="F38" s="3">
        <v>1</v>
      </c>
      <c r="G38" s="1" t="s">
        <v>145</v>
      </c>
      <c r="H38" s="1" t="s">
        <v>25</v>
      </c>
      <c r="I38" s="1" t="s">
        <v>18</v>
      </c>
      <c r="J38" s="1" t="s">
        <v>78</v>
      </c>
      <c r="K38" s="1" t="s">
        <v>91</v>
      </c>
      <c r="L38" s="1" t="s">
        <v>92</v>
      </c>
      <c r="M38" s="1" t="s">
        <v>65</v>
      </c>
      <c r="N38" s="1" t="s">
        <v>66</v>
      </c>
      <c r="O38" s="1" t="s">
        <v>146</v>
      </c>
      <c r="P38" s="1" t="s">
        <v>22</v>
      </c>
      <c r="Q38" s="1">
        <v>5</v>
      </c>
      <c r="R38" s="1">
        <v>2850.53</v>
      </c>
      <c r="S38" s="1">
        <v>0</v>
      </c>
      <c r="T38" s="1">
        <v>14252.65</v>
      </c>
      <c r="U38" s="1">
        <v>11558.31</v>
      </c>
      <c r="V38" s="1">
        <v>2694.34</v>
      </c>
      <c r="W38" s="1" t="s">
        <v>12</v>
      </c>
      <c r="X38" s="1" t="s">
        <v>13</v>
      </c>
      <c r="Y38" s="1"/>
    </row>
    <row r="39" spans="1:25">
      <c r="A39" s="1" t="s">
        <v>169</v>
      </c>
      <c r="B39" s="1">
        <f t="shared" si="0"/>
        <v>2</v>
      </c>
      <c r="C39" s="1" t="s">
        <v>1</v>
      </c>
      <c r="D39" s="2">
        <v>45794</v>
      </c>
      <c r="E39" s="2">
        <v>45802</v>
      </c>
      <c r="F39" s="3">
        <v>8</v>
      </c>
      <c r="G39" s="1" t="s">
        <v>170</v>
      </c>
      <c r="H39" s="1" t="s">
        <v>142</v>
      </c>
      <c r="I39" s="1" t="s">
        <v>36</v>
      </c>
      <c r="J39" s="1" t="s">
        <v>78</v>
      </c>
      <c r="K39" s="1" t="s">
        <v>157</v>
      </c>
      <c r="L39" s="1" t="s">
        <v>158</v>
      </c>
      <c r="M39" s="1" t="s">
        <v>8</v>
      </c>
      <c r="N39" s="1" t="s">
        <v>171</v>
      </c>
      <c r="O39" s="1" t="s">
        <v>172</v>
      </c>
      <c r="P39" s="1" t="s">
        <v>30</v>
      </c>
      <c r="Q39" s="1">
        <v>6</v>
      </c>
      <c r="R39" s="1">
        <v>1810.63</v>
      </c>
      <c r="S39" s="1">
        <v>0.15</v>
      </c>
      <c r="T39" s="1">
        <v>9234.2099999999991</v>
      </c>
      <c r="U39" s="1">
        <v>5516.52</v>
      </c>
      <c r="V39" s="1">
        <v>3717.69</v>
      </c>
      <c r="W39" s="1" t="s">
        <v>12</v>
      </c>
      <c r="X39" s="1" t="s">
        <v>13</v>
      </c>
      <c r="Y39" s="1"/>
    </row>
    <row r="40" spans="1:25">
      <c r="A40" s="1" t="s">
        <v>44</v>
      </c>
      <c r="B40" s="1">
        <f t="shared" si="0"/>
        <v>2</v>
      </c>
      <c r="C40" s="1" t="s">
        <v>1</v>
      </c>
      <c r="D40" s="2">
        <v>45639</v>
      </c>
      <c r="E40" s="2">
        <v>45644</v>
      </c>
      <c r="F40" s="3">
        <v>5</v>
      </c>
      <c r="G40" s="1" t="s">
        <v>45</v>
      </c>
      <c r="H40" s="1" t="s">
        <v>46</v>
      </c>
      <c r="I40" s="1" t="s">
        <v>4</v>
      </c>
      <c r="J40" s="1" t="s">
        <v>37</v>
      </c>
      <c r="K40" s="1" t="s">
        <v>47</v>
      </c>
      <c r="L40" s="1" t="s">
        <v>48</v>
      </c>
      <c r="M40" s="1" t="s">
        <v>8</v>
      </c>
      <c r="N40" s="1" t="s">
        <v>49</v>
      </c>
      <c r="O40" s="1" t="s">
        <v>50</v>
      </c>
      <c r="P40" s="1" t="s">
        <v>43</v>
      </c>
      <c r="Q40" s="1">
        <v>8</v>
      </c>
      <c r="R40" s="1">
        <v>3372.15</v>
      </c>
      <c r="S40" s="1">
        <v>0.15</v>
      </c>
      <c r="T40" s="1">
        <v>22930.62</v>
      </c>
      <c r="U40" s="1">
        <v>16875.55</v>
      </c>
      <c r="V40" s="1">
        <v>6055.07</v>
      </c>
      <c r="W40" s="1" t="s">
        <v>12</v>
      </c>
      <c r="X40" s="1" t="s">
        <v>13</v>
      </c>
      <c r="Y40" s="1"/>
    </row>
    <row r="41" spans="1:25">
      <c r="A41" s="1" t="s">
        <v>164</v>
      </c>
      <c r="B41" s="1">
        <f t="shared" si="0"/>
        <v>2</v>
      </c>
      <c r="C41" s="1" t="s">
        <v>1</v>
      </c>
      <c r="D41" s="2">
        <v>45908</v>
      </c>
      <c r="E41" s="2">
        <v>45909</v>
      </c>
      <c r="F41" s="3">
        <v>1</v>
      </c>
      <c r="G41" s="1" t="s">
        <v>165</v>
      </c>
      <c r="H41" s="1" t="s">
        <v>115</v>
      </c>
      <c r="I41" s="1" t="s">
        <v>36</v>
      </c>
      <c r="J41" s="1" t="s">
        <v>37</v>
      </c>
      <c r="K41" s="1" t="s">
        <v>166</v>
      </c>
      <c r="L41" s="1" t="s">
        <v>167</v>
      </c>
      <c r="M41" s="1" t="s">
        <v>40</v>
      </c>
      <c r="N41" s="1" t="s">
        <v>135</v>
      </c>
      <c r="O41" s="1" t="s">
        <v>168</v>
      </c>
      <c r="P41" s="1" t="s">
        <v>30</v>
      </c>
      <c r="Q41" s="1">
        <v>2</v>
      </c>
      <c r="R41" s="1">
        <v>2372.41</v>
      </c>
      <c r="S41" s="1">
        <v>0.2</v>
      </c>
      <c r="T41" s="1">
        <v>3795.86</v>
      </c>
      <c r="U41" s="1">
        <v>2264.92</v>
      </c>
      <c r="V41" s="1">
        <v>1530.94</v>
      </c>
      <c r="W41" s="1" t="s">
        <v>12</v>
      </c>
      <c r="X41" s="1" t="s">
        <v>13</v>
      </c>
      <c r="Y41" s="1"/>
    </row>
    <row r="42" spans="1:25">
      <c r="A42" s="1" t="s">
        <v>117</v>
      </c>
      <c r="B42" s="1">
        <f t="shared" si="0"/>
        <v>2</v>
      </c>
      <c r="C42" s="1" t="s">
        <v>1</v>
      </c>
      <c r="D42" s="2">
        <v>45771</v>
      </c>
      <c r="E42" s="2">
        <v>45776</v>
      </c>
      <c r="F42" s="3">
        <v>5</v>
      </c>
      <c r="G42" s="1" t="s">
        <v>118</v>
      </c>
      <c r="H42" s="1" t="s">
        <v>119</v>
      </c>
      <c r="I42" s="1" t="s">
        <v>18</v>
      </c>
      <c r="J42" s="1" t="s">
        <v>78</v>
      </c>
      <c r="K42" s="1" t="s">
        <v>79</v>
      </c>
      <c r="L42" s="1" t="s">
        <v>80</v>
      </c>
      <c r="M42" s="1" t="s">
        <v>40</v>
      </c>
      <c r="N42" s="1" t="s">
        <v>106</v>
      </c>
      <c r="O42" s="1" t="s">
        <v>120</v>
      </c>
      <c r="P42" s="1" t="s">
        <v>30</v>
      </c>
      <c r="Q42" s="1">
        <v>1</v>
      </c>
      <c r="R42" s="1">
        <v>4358.5</v>
      </c>
      <c r="S42" s="1">
        <v>0.25</v>
      </c>
      <c r="T42" s="1">
        <v>3268.88</v>
      </c>
      <c r="U42" s="1">
        <v>1993.74</v>
      </c>
      <c r="V42" s="1">
        <v>1275.1400000000001</v>
      </c>
      <c r="W42" s="1" t="s">
        <v>12</v>
      </c>
      <c r="X42" s="1" t="s">
        <v>13</v>
      </c>
      <c r="Y42" s="1"/>
    </row>
    <row r="43" spans="1:25" s="9" customFormat="1">
      <c r="A43" s="6" t="s">
        <v>23</v>
      </c>
      <c r="B43" s="6">
        <f t="shared" si="0"/>
        <v>3</v>
      </c>
      <c r="C43" s="6" t="s">
        <v>1</v>
      </c>
      <c r="D43" s="7">
        <v>45436</v>
      </c>
      <c r="E43" s="7">
        <v>45437</v>
      </c>
      <c r="F43" s="8">
        <v>1</v>
      </c>
      <c r="G43" s="6" t="s">
        <v>24</v>
      </c>
      <c r="H43" s="6" t="s">
        <v>25</v>
      </c>
      <c r="I43" s="6" t="s">
        <v>18</v>
      </c>
      <c r="J43" s="6" t="s">
        <v>26</v>
      </c>
      <c r="K43" s="6" t="s">
        <v>27</v>
      </c>
      <c r="L43" s="6" t="s">
        <v>28</v>
      </c>
      <c r="M43" s="6" t="s">
        <v>8</v>
      </c>
      <c r="N43" s="6" t="s">
        <v>9</v>
      </c>
      <c r="O43" s="6" t="s">
        <v>29</v>
      </c>
      <c r="P43" s="6" t="s">
        <v>30</v>
      </c>
      <c r="Q43" s="6">
        <v>1</v>
      </c>
      <c r="R43" s="6">
        <v>634.13</v>
      </c>
      <c r="S43" s="6">
        <v>0</v>
      </c>
      <c r="T43" s="6">
        <v>634.13</v>
      </c>
      <c r="U43" s="6">
        <v>453.35</v>
      </c>
      <c r="V43" s="6">
        <v>180.78</v>
      </c>
      <c r="W43" s="6" t="s">
        <v>31</v>
      </c>
      <c r="X43" s="6" t="s">
        <v>32</v>
      </c>
      <c r="Y43" s="6"/>
    </row>
    <row r="44" spans="1:25">
      <c r="A44" s="1" t="s">
        <v>68</v>
      </c>
      <c r="B44" s="1">
        <f t="shared" si="0"/>
        <v>2</v>
      </c>
      <c r="C44" s="1" t="s">
        <v>1</v>
      </c>
      <c r="D44" s="2">
        <v>45343</v>
      </c>
      <c r="E44" s="2">
        <v>45349</v>
      </c>
      <c r="F44" s="3">
        <v>6</v>
      </c>
      <c r="G44" s="1" t="s">
        <v>69</v>
      </c>
      <c r="H44" s="1" t="s">
        <v>70</v>
      </c>
      <c r="I44" s="1" t="s">
        <v>18</v>
      </c>
      <c r="J44" s="1" t="s">
        <v>5</v>
      </c>
      <c r="K44" s="1" t="s">
        <v>71</v>
      </c>
      <c r="L44" s="1" t="s">
        <v>72</v>
      </c>
      <c r="M44" s="1" t="s">
        <v>65</v>
      </c>
      <c r="N44" s="1" t="s">
        <v>66</v>
      </c>
      <c r="O44" s="1" t="s">
        <v>73</v>
      </c>
      <c r="P44" s="1" t="s">
        <v>11</v>
      </c>
      <c r="Q44" s="1">
        <v>5</v>
      </c>
      <c r="R44" s="1">
        <v>3373.86</v>
      </c>
      <c r="S44" s="1">
        <v>0.15</v>
      </c>
      <c r="T44" s="1">
        <v>14338.9</v>
      </c>
      <c r="U44" s="1">
        <v>11897.65</v>
      </c>
      <c r="V44" s="1">
        <v>2441.25</v>
      </c>
      <c r="W44" s="1" t="s">
        <v>74</v>
      </c>
      <c r="X44" s="1" t="s">
        <v>75</v>
      </c>
      <c r="Y44" s="1"/>
    </row>
    <row r="45" spans="1:25">
      <c r="A45" s="1" t="s">
        <v>113</v>
      </c>
      <c r="B45" s="1">
        <f t="shared" si="0"/>
        <v>2</v>
      </c>
      <c r="C45" s="1" t="s">
        <v>1</v>
      </c>
      <c r="D45" s="2">
        <v>45801</v>
      </c>
      <c r="E45" s="2">
        <v>45807</v>
      </c>
      <c r="F45" s="3">
        <v>6</v>
      </c>
      <c r="G45" s="1" t="s">
        <v>114</v>
      </c>
      <c r="H45" s="1" t="s">
        <v>115</v>
      </c>
      <c r="I45" s="1" t="s">
        <v>18</v>
      </c>
      <c r="J45" s="1" t="s">
        <v>5</v>
      </c>
      <c r="K45" s="1" t="s">
        <v>6</v>
      </c>
      <c r="L45" s="1" t="s">
        <v>7</v>
      </c>
      <c r="M45" s="1" t="s">
        <v>40</v>
      </c>
      <c r="N45" s="1" t="s">
        <v>41</v>
      </c>
      <c r="O45" s="1" t="s">
        <v>116</v>
      </c>
      <c r="P45" s="1" t="s">
        <v>30</v>
      </c>
      <c r="Q45" s="1">
        <v>1</v>
      </c>
      <c r="R45" s="1">
        <v>2564.7399999999998</v>
      </c>
      <c r="S45" s="1">
        <v>0</v>
      </c>
      <c r="T45" s="1">
        <v>2564.7399999999998</v>
      </c>
      <c r="U45" s="1">
        <v>1754.58</v>
      </c>
      <c r="V45" s="1">
        <v>810.16</v>
      </c>
      <c r="W45" s="1" t="s">
        <v>12</v>
      </c>
      <c r="X45" s="1" t="s">
        <v>13</v>
      </c>
      <c r="Y45" s="1"/>
    </row>
    <row r="46" spans="1:25">
      <c r="A46" s="1" t="s">
        <v>89</v>
      </c>
      <c r="B46" s="1">
        <f t="shared" si="0"/>
        <v>2</v>
      </c>
      <c r="C46" s="1" t="s">
        <v>1</v>
      </c>
      <c r="D46" s="2">
        <v>45649</v>
      </c>
      <c r="E46" s="2">
        <v>45652</v>
      </c>
      <c r="F46" s="3">
        <v>3</v>
      </c>
      <c r="G46" s="1" t="s">
        <v>90</v>
      </c>
      <c r="H46" s="1" t="s">
        <v>53</v>
      </c>
      <c r="I46" s="1" t="s">
        <v>4</v>
      </c>
      <c r="J46" s="1" t="s">
        <v>78</v>
      </c>
      <c r="K46" s="1" t="s">
        <v>91</v>
      </c>
      <c r="L46" s="1" t="s">
        <v>92</v>
      </c>
      <c r="M46" s="1" t="s">
        <v>8</v>
      </c>
      <c r="N46" s="1" t="s">
        <v>9</v>
      </c>
      <c r="O46" s="1" t="s">
        <v>93</v>
      </c>
      <c r="P46" s="1" t="s">
        <v>11</v>
      </c>
      <c r="Q46" s="1">
        <v>9</v>
      </c>
      <c r="R46" s="1">
        <v>993.67</v>
      </c>
      <c r="S46" s="1">
        <v>0</v>
      </c>
      <c r="T46" s="1">
        <v>8943.0300000000007</v>
      </c>
      <c r="U46" s="1">
        <v>5165.38</v>
      </c>
      <c r="V46" s="1">
        <v>3777.65</v>
      </c>
      <c r="W46" s="1" t="s">
        <v>12</v>
      </c>
      <c r="X46" s="1" t="s">
        <v>13</v>
      </c>
      <c r="Y46" s="1"/>
    </row>
    <row r="47" spans="1:25">
      <c r="A47" s="1" t="s">
        <v>161</v>
      </c>
      <c r="B47" s="1">
        <f t="shared" si="0"/>
        <v>2</v>
      </c>
      <c r="C47" s="1" t="s">
        <v>1</v>
      </c>
      <c r="D47" s="2">
        <v>45332</v>
      </c>
      <c r="E47" s="2">
        <v>45340</v>
      </c>
      <c r="F47" s="3">
        <v>8</v>
      </c>
      <c r="G47" s="1" t="s">
        <v>162</v>
      </c>
      <c r="H47" s="1" t="s">
        <v>64</v>
      </c>
      <c r="I47" s="1" t="s">
        <v>54</v>
      </c>
      <c r="J47" s="1" t="s">
        <v>37</v>
      </c>
      <c r="K47" s="1" t="s">
        <v>38</v>
      </c>
      <c r="L47" s="1" t="s">
        <v>39</v>
      </c>
      <c r="M47" s="1" t="s">
        <v>65</v>
      </c>
      <c r="N47" s="1" t="s">
        <v>81</v>
      </c>
      <c r="O47" s="1" t="s">
        <v>163</v>
      </c>
      <c r="P47" s="1" t="s">
        <v>22</v>
      </c>
      <c r="Q47" s="1">
        <v>7</v>
      </c>
      <c r="R47" s="1">
        <v>1382.86</v>
      </c>
      <c r="S47" s="1">
        <v>0</v>
      </c>
      <c r="T47" s="1">
        <v>9680.02</v>
      </c>
      <c r="U47" s="1">
        <v>6876.66</v>
      </c>
      <c r="V47" s="1">
        <v>2803.36</v>
      </c>
      <c r="W47" s="1" t="s">
        <v>12</v>
      </c>
      <c r="X47" s="1" t="s">
        <v>13</v>
      </c>
      <c r="Y47" s="1"/>
    </row>
    <row r="48" spans="1:25">
      <c r="A48" s="1" t="s">
        <v>130</v>
      </c>
      <c r="B48" s="1">
        <f t="shared" si="0"/>
        <v>2</v>
      </c>
      <c r="C48" s="1" t="s">
        <v>1</v>
      </c>
      <c r="D48" s="2">
        <v>45971</v>
      </c>
      <c r="E48" s="2">
        <v>45943</v>
      </c>
      <c r="F48" s="3">
        <v>-28</v>
      </c>
      <c r="G48" s="1" t="s">
        <v>131</v>
      </c>
      <c r="H48" s="1" t="s">
        <v>132</v>
      </c>
      <c r="I48" s="1" t="s">
        <v>36</v>
      </c>
      <c r="J48" s="1" t="s">
        <v>78</v>
      </c>
      <c r="K48" s="1" t="s">
        <v>133</v>
      </c>
      <c r="L48" s="1" t="s">
        <v>134</v>
      </c>
      <c r="M48" s="1" t="s">
        <v>40</v>
      </c>
      <c r="N48" s="1" t="s">
        <v>135</v>
      </c>
      <c r="O48" s="1" t="s">
        <v>136</v>
      </c>
      <c r="P48" s="1" t="s">
        <v>43</v>
      </c>
      <c r="Q48" s="1">
        <v>3</v>
      </c>
      <c r="R48" s="1">
        <v>3804.27</v>
      </c>
      <c r="S48" s="1">
        <v>0.1</v>
      </c>
      <c r="T48" s="1">
        <v>10271.530000000001</v>
      </c>
      <c r="U48" s="1">
        <v>8272.24</v>
      </c>
      <c r="V48" s="1">
        <v>1999.29</v>
      </c>
      <c r="W48" s="1" t="s">
        <v>12</v>
      </c>
      <c r="X48" s="1" t="s">
        <v>13</v>
      </c>
      <c r="Y48" s="1" t="s">
        <v>14</v>
      </c>
    </row>
    <row r="49" spans="1:25">
      <c r="A49" s="1" t="s">
        <v>173</v>
      </c>
      <c r="B49" s="1">
        <f t="shared" si="0"/>
        <v>2</v>
      </c>
      <c r="C49" s="1" t="s">
        <v>1</v>
      </c>
      <c r="D49" s="2">
        <v>45357</v>
      </c>
      <c r="E49" s="2">
        <v>45363</v>
      </c>
      <c r="F49" s="3">
        <v>6</v>
      </c>
      <c r="G49" s="1" t="s">
        <v>174</v>
      </c>
      <c r="H49" s="1" t="s">
        <v>64</v>
      </c>
      <c r="I49" s="1" t="s">
        <v>54</v>
      </c>
      <c r="J49" s="1" t="s">
        <v>37</v>
      </c>
      <c r="K49" s="1" t="s">
        <v>166</v>
      </c>
      <c r="L49" s="1" t="s">
        <v>167</v>
      </c>
      <c r="M49" s="1" t="s">
        <v>65</v>
      </c>
      <c r="N49" s="1" t="s">
        <v>159</v>
      </c>
      <c r="O49" s="1" t="s">
        <v>175</v>
      </c>
      <c r="P49" s="1" t="s">
        <v>11</v>
      </c>
      <c r="Q49" s="1">
        <v>3</v>
      </c>
      <c r="R49" s="1">
        <v>679.63</v>
      </c>
      <c r="S49" s="1">
        <v>0.2</v>
      </c>
      <c r="T49" s="1">
        <v>1631.11</v>
      </c>
      <c r="U49" s="1">
        <v>898.73</v>
      </c>
      <c r="V49" s="1">
        <v>396.58</v>
      </c>
      <c r="W49" s="1" t="s">
        <v>12</v>
      </c>
      <c r="X49" s="1" t="s">
        <v>13</v>
      </c>
      <c r="Y49" s="1"/>
    </row>
    <row r="50" spans="1:25">
      <c r="A50" s="1" t="s">
        <v>33</v>
      </c>
      <c r="B50" s="1">
        <f t="shared" si="0"/>
        <v>2</v>
      </c>
      <c r="C50" s="1" t="s">
        <v>1</v>
      </c>
      <c r="D50" s="2">
        <v>45687</v>
      </c>
      <c r="E50" s="2">
        <v>45683</v>
      </c>
      <c r="F50" s="3">
        <v>-4</v>
      </c>
      <c r="G50" s="1" t="s">
        <v>34</v>
      </c>
      <c r="H50" s="1" t="s">
        <v>35</v>
      </c>
      <c r="I50" s="1" t="s">
        <v>36</v>
      </c>
      <c r="J50" s="1" t="s">
        <v>37</v>
      </c>
      <c r="K50" s="1" t="s">
        <v>38</v>
      </c>
      <c r="L50" s="1" t="s">
        <v>39</v>
      </c>
      <c r="M50" s="1" t="s">
        <v>40</v>
      </c>
      <c r="N50" s="1" t="s">
        <v>41</v>
      </c>
      <c r="O50" s="1" t="s">
        <v>42</v>
      </c>
      <c r="P50" s="1" t="s">
        <v>43</v>
      </c>
      <c r="Q50" s="1">
        <v>2</v>
      </c>
      <c r="R50" s="1">
        <v>3039.3</v>
      </c>
      <c r="S50" s="1">
        <v>0.05</v>
      </c>
      <c r="T50" s="1">
        <v>5774.67</v>
      </c>
      <c r="U50" s="1">
        <v>3518.36</v>
      </c>
      <c r="V50" s="1">
        <v>2256.31</v>
      </c>
      <c r="W50" s="1" t="s">
        <v>12</v>
      </c>
      <c r="X50" s="1" t="s">
        <v>13</v>
      </c>
      <c r="Y50" s="1" t="s">
        <v>14</v>
      </c>
    </row>
    <row r="51" spans="1:25" s="13" customFormat="1">
      <c r="A51" s="10" t="s">
        <v>147</v>
      </c>
      <c r="B51" s="10">
        <f t="shared" si="0"/>
        <v>2</v>
      </c>
      <c r="C51" s="10" t="s">
        <v>1</v>
      </c>
      <c r="D51" s="11">
        <v>45970</v>
      </c>
      <c r="E51" s="11">
        <v>45918</v>
      </c>
      <c r="F51" s="12">
        <v>-52</v>
      </c>
      <c r="G51" s="10" t="s">
        <v>148</v>
      </c>
      <c r="H51" s="10" t="s">
        <v>105</v>
      </c>
      <c r="I51" s="10" t="s">
        <v>18</v>
      </c>
      <c r="J51" s="10" t="s">
        <v>26</v>
      </c>
      <c r="K51" s="10" t="s">
        <v>149</v>
      </c>
      <c r="L51" s="10" t="s">
        <v>150</v>
      </c>
      <c r="M51" s="10" t="s">
        <v>8</v>
      </c>
      <c r="N51" s="10" t="s">
        <v>49</v>
      </c>
      <c r="O51" s="10" t="s">
        <v>151</v>
      </c>
      <c r="P51" s="10" t="s">
        <v>30</v>
      </c>
      <c r="Q51" s="10">
        <v>7</v>
      </c>
      <c r="R51" s="10">
        <v>3411.21</v>
      </c>
      <c r="S51" s="10">
        <v>0.15</v>
      </c>
      <c r="T51" s="10">
        <v>20296.7</v>
      </c>
      <c r="U51" s="10">
        <v>14920.87</v>
      </c>
      <c r="V51" s="10">
        <v>5375.83</v>
      </c>
      <c r="W51" s="10" t="s">
        <v>12</v>
      </c>
      <c r="X51" s="10" t="s">
        <v>13</v>
      </c>
      <c r="Y51" s="10" t="s">
        <v>14</v>
      </c>
    </row>
    <row r="52" spans="1:25">
      <c r="A52" s="1" t="s">
        <v>0</v>
      </c>
      <c r="B52" s="1">
        <f t="shared" si="0"/>
        <v>2</v>
      </c>
      <c r="C52" s="1" t="s">
        <v>1</v>
      </c>
      <c r="D52" s="2">
        <v>45934</v>
      </c>
      <c r="E52" s="2">
        <v>45763</v>
      </c>
      <c r="F52" s="3">
        <v>-171</v>
      </c>
      <c r="G52" s="1" t="s">
        <v>2</v>
      </c>
      <c r="H52" s="1" t="s">
        <v>3</v>
      </c>
      <c r="I52" s="1" t="s">
        <v>4</v>
      </c>
      <c r="J52" s="1" t="s">
        <v>5</v>
      </c>
      <c r="K52" s="1" t="s">
        <v>6</v>
      </c>
      <c r="L52" s="1" t="s">
        <v>7</v>
      </c>
      <c r="M52" s="1" t="s">
        <v>8</v>
      </c>
      <c r="N52" s="1" t="s">
        <v>9</v>
      </c>
      <c r="O52" s="1" t="s">
        <v>10</v>
      </c>
      <c r="P52" s="1" t="s">
        <v>11</v>
      </c>
      <c r="Q52" s="1">
        <v>4</v>
      </c>
      <c r="R52" s="1">
        <v>1719.87</v>
      </c>
      <c r="S52" s="1">
        <v>0.15</v>
      </c>
      <c r="T52" s="1">
        <v>5847.56</v>
      </c>
      <c r="U52" s="1">
        <v>4727.25</v>
      </c>
      <c r="V52" s="1">
        <v>1120.31</v>
      </c>
      <c r="W52" s="1" t="s">
        <v>12</v>
      </c>
      <c r="X52" s="1" t="s">
        <v>13</v>
      </c>
      <c r="Y52" s="1" t="s">
        <v>14</v>
      </c>
    </row>
    <row r="53" spans="1:25" s="9" customFormat="1">
      <c r="A53" s="6" t="s">
        <v>99</v>
      </c>
      <c r="B53" s="6">
        <f t="shared" si="0"/>
        <v>2</v>
      </c>
      <c r="C53" s="6" t="s">
        <v>1</v>
      </c>
      <c r="D53" s="7">
        <v>45630</v>
      </c>
      <c r="E53" s="7">
        <v>45632</v>
      </c>
      <c r="F53" s="8">
        <v>2</v>
      </c>
      <c r="G53" s="6" t="s">
        <v>100</v>
      </c>
      <c r="H53" s="6" t="s">
        <v>25</v>
      </c>
      <c r="I53" s="6" t="s">
        <v>54</v>
      </c>
      <c r="J53" s="6" t="s">
        <v>5</v>
      </c>
      <c r="K53" s="6" t="s">
        <v>6</v>
      </c>
      <c r="L53" s="6" t="s">
        <v>7</v>
      </c>
      <c r="M53" s="6" t="s">
        <v>40</v>
      </c>
      <c r="N53" s="6" t="s">
        <v>101</v>
      </c>
      <c r="O53" s="6" t="s">
        <v>102</v>
      </c>
      <c r="P53" s="6" t="s">
        <v>43</v>
      </c>
      <c r="Q53" s="6">
        <v>4</v>
      </c>
      <c r="R53" s="6">
        <v>2685.66</v>
      </c>
      <c r="S53" s="6">
        <v>0</v>
      </c>
      <c r="T53" s="6">
        <v>10989.89</v>
      </c>
      <c r="U53" s="6">
        <v>6477.37</v>
      </c>
      <c r="V53" s="6">
        <v>4265.2700000000004</v>
      </c>
      <c r="W53" s="6" t="s">
        <v>12</v>
      </c>
      <c r="X53" s="6" t="s">
        <v>13</v>
      </c>
      <c r="Y53" s="6"/>
    </row>
    <row r="54" spans="1:25" s="9" customFormat="1">
      <c r="A54" s="6" t="s">
        <v>15</v>
      </c>
      <c r="B54" s="6">
        <f t="shared" si="0"/>
        <v>2</v>
      </c>
      <c r="C54" s="6" t="s">
        <v>1</v>
      </c>
      <c r="D54" s="7">
        <v>45893</v>
      </c>
      <c r="E54" s="7">
        <v>45898</v>
      </c>
      <c r="F54" s="8">
        <v>5</v>
      </c>
      <c r="G54" s="6" t="s">
        <v>16</v>
      </c>
      <c r="H54" s="6" t="s">
        <v>17</v>
      </c>
      <c r="I54" s="6" t="s">
        <v>18</v>
      </c>
      <c r="J54" s="6" t="s">
        <v>5</v>
      </c>
      <c r="K54" s="6" t="s">
        <v>19</v>
      </c>
      <c r="L54" s="6" t="s">
        <v>20</v>
      </c>
      <c r="M54" s="6" t="s">
        <v>8</v>
      </c>
      <c r="N54" s="6" t="s">
        <v>9</v>
      </c>
      <c r="O54" s="6" t="s">
        <v>21</v>
      </c>
      <c r="P54" s="6" t="s">
        <v>22</v>
      </c>
      <c r="Q54" s="6">
        <v>3</v>
      </c>
      <c r="R54" s="6">
        <v>3703.96</v>
      </c>
      <c r="S54" s="6">
        <v>0.15</v>
      </c>
      <c r="T54" s="6">
        <v>9549.44</v>
      </c>
      <c r="U54" s="6">
        <v>5586.28</v>
      </c>
      <c r="V54" s="6">
        <v>3858.82</v>
      </c>
      <c r="W54" s="6" t="s">
        <v>12</v>
      </c>
      <c r="X54" s="6" t="s">
        <v>75</v>
      </c>
      <c r="Y54" s="6"/>
    </row>
    <row r="55" spans="1:25" s="9" customFormat="1">
      <c r="A55" s="6" t="s">
        <v>108</v>
      </c>
      <c r="B55" s="6">
        <f t="shared" si="0"/>
        <v>2</v>
      </c>
      <c r="C55" s="6" t="s">
        <v>1</v>
      </c>
      <c r="D55" s="7">
        <v>45760</v>
      </c>
      <c r="E55" s="7">
        <v>45760</v>
      </c>
      <c r="F55" s="8">
        <v>0</v>
      </c>
      <c r="G55" s="6" t="s">
        <v>109</v>
      </c>
      <c r="H55" s="6" t="s">
        <v>25</v>
      </c>
      <c r="I55" s="6" t="s">
        <v>18</v>
      </c>
      <c r="J55" s="6" t="s">
        <v>26</v>
      </c>
      <c r="K55" s="6" t="s">
        <v>110</v>
      </c>
      <c r="L55" s="6" t="s">
        <v>111</v>
      </c>
      <c r="M55" s="6" t="s">
        <v>40</v>
      </c>
      <c r="N55" s="6" t="s">
        <v>41</v>
      </c>
      <c r="O55" s="6" t="s">
        <v>112</v>
      </c>
      <c r="P55" s="6" t="s">
        <v>43</v>
      </c>
      <c r="Q55" s="6">
        <v>9</v>
      </c>
      <c r="R55" s="6">
        <v>1118.68</v>
      </c>
      <c r="S55" s="6">
        <v>0</v>
      </c>
      <c r="T55" s="6">
        <v>10348.43</v>
      </c>
      <c r="U55" s="6">
        <v>8595.3700000000008</v>
      </c>
      <c r="V55" s="6">
        <v>1472.75</v>
      </c>
      <c r="W55" s="6" t="s">
        <v>12</v>
      </c>
      <c r="X55" s="6" t="s">
        <v>75</v>
      </c>
      <c r="Y55" s="6"/>
    </row>
    <row r="56" spans="1:25" s="9" customFormat="1">
      <c r="A56" s="6" t="s">
        <v>62</v>
      </c>
      <c r="B56" s="6">
        <f t="shared" si="0"/>
        <v>2</v>
      </c>
      <c r="C56" s="6" t="s">
        <v>1</v>
      </c>
      <c r="D56" s="7">
        <v>45698</v>
      </c>
      <c r="E56" s="7">
        <v>45938</v>
      </c>
      <c r="F56" s="8">
        <v>240</v>
      </c>
      <c r="G56" s="6" t="s">
        <v>63</v>
      </c>
      <c r="H56" s="6" t="s">
        <v>64</v>
      </c>
      <c r="I56" s="6" t="s">
        <v>18</v>
      </c>
      <c r="J56" s="6" t="s">
        <v>26</v>
      </c>
      <c r="K56" s="6" t="s">
        <v>27</v>
      </c>
      <c r="L56" s="6" t="s">
        <v>28</v>
      </c>
      <c r="M56" s="6" t="s">
        <v>65</v>
      </c>
      <c r="N56" s="6" t="s">
        <v>66</v>
      </c>
      <c r="O56" s="6" t="s">
        <v>67</v>
      </c>
      <c r="P56" s="6" t="s">
        <v>11</v>
      </c>
      <c r="Q56" s="6">
        <v>4</v>
      </c>
      <c r="R56" s="6">
        <v>3944.64</v>
      </c>
      <c r="S56" s="6">
        <v>0.25</v>
      </c>
      <c r="T56" s="6">
        <v>12116.89</v>
      </c>
      <c r="U56" s="6">
        <v>6682.92</v>
      </c>
      <c r="V56" s="6">
        <v>5151</v>
      </c>
      <c r="W56" s="6" t="s">
        <v>12</v>
      </c>
      <c r="X56" s="6" t="s">
        <v>75</v>
      </c>
      <c r="Y56" s="6"/>
    </row>
    <row r="57" spans="1:25" s="9" customFormat="1">
      <c r="A57" s="6" t="s">
        <v>94</v>
      </c>
      <c r="B57" s="6">
        <f t="shared" si="0"/>
        <v>2</v>
      </c>
      <c r="C57" s="6" t="s">
        <v>1</v>
      </c>
      <c r="D57" s="7">
        <v>45795</v>
      </c>
      <c r="E57" s="7">
        <v>45797</v>
      </c>
      <c r="F57" s="8">
        <v>2</v>
      </c>
      <c r="G57" s="6" t="s">
        <v>95</v>
      </c>
      <c r="H57" s="6" t="s">
        <v>64</v>
      </c>
      <c r="I57" s="6" t="s">
        <v>36</v>
      </c>
      <c r="J57" s="6" t="s">
        <v>37</v>
      </c>
      <c r="K57" s="6" t="s">
        <v>38</v>
      </c>
      <c r="L57" s="6" t="s">
        <v>39</v>
      </c>
      <c r="M57" s="6" t="s">
        <v>40</v>
      </c>
      <c r="N57" s="6" t="s">
        <v>96</v>
      </c>
      <c r="O57" s="6" t="s">
        <v>97</v>
      </c>
      <c r="P57" s="6" t="s">
        <v>11</v>
      </c>
      <c r="Q57" s="6">
        <v>9</v>
      </c>
      <c r="R57" s="6">
        <v>847.76</v>
      </c>
      <c r="S57" s="6">
        <v>0.15</v>
      </c>
      <c r="T57" s="6">
        <v>6589.37</v>
      </c>
      <c r="U57" s="6">
        <v>5376.17</v>
      </c>
      <c r="V57" s="6">
        <v>1109.19</v>
      </c>
      <c r="W57" s="6" t="s">
        <v>98</v>
      </c>
      <c r="X57" s="6" t="s">
        <v>13</v>
      </c>
      <c r="Y57" s="6"/>
    </row>
    <row r="58" spans="1:25" s="9" customFormat="1">
      <c r="A58" s="6" t="s">
        <v>58</v>
      </c>
      <c r="B58" s="6">
        <f t="shared" si="0"/>
        <v>2</v>
      </c>
      <c r="C58" s="6" t="s">
        <v>1</v>
      </c>
      <c r="D58" s="7">
        <v>45907</v>
      </c>
      <c r="E58" s="7">
        <v>45915</v>
      </c>
      <c r="F58" s="8">
        <v>8</v>
      </c>
      <c r="G58" s="6" t="s">
        <v>59</v>
      </c>
      <c r="H58" s="6" t="s">
        <v>60</v>
      </c>
      <c r="I58" s="6" t="s">
        <v>36</v>
      </c>
      <c r="J58" s="6" t="s">
        <v>5</v>
      </c>
      <c r="K58" s="6" t="s">
        <v>19</v>
      </c>
      <c r="L58" s="6" t="s">
        <v>20</v>
      </c>
      <c r="M58" s="6" t="s">
        <v>8</v>
      </c>
      <c r="N58" s="6" t="s">
        <v>9</v>
      </c>
      <c r="O58" s="6" t="s">
        <v>61</v>
      </c>
      <c r="P58" s="6" t="s">
        <v>11</v>
      </c>
      <c r="Q58" s="6">
        <v>3</v>
      </c>
      <c r="R58" s="6">
        <v>1711.32</v>
      </c>
      <c r="S58" s="6">
        <v>0</v>
      </c>
      <c r="T58" s="6">
        <v>5206.53</v>
      </c>
      <c r="U58" s="6">
        <v>3930</v>
      </c>
      <c r="V58" s="6">
        <v>1203.96</v>
      </c>
      <c r="W58" s="6" t="s">
        <v>12</v>
      </c>
      <c r="X58" s="6" t="s">
        <v>75</v>
      </c>
      <c r="Y58" s="6"/>
    </row>
    <row r="59" spans="1:25" s="9" customFormat="1">
      <c r="A59" s="6" t="s">
        <v>121</v>
      </c>
      <c r="B59" s="6">
        <f t="shared" si="0"/>
        <v>2</v>
      </c>
      <c r="C59" s="6" t="s">
        <v>1</v>
      </c>
      <c r="D59" s="7">
        <v>45342</v>
      </c>
      <c r="E59" s="7">
        <v>45349</v>
      </c>
      <c r="F59" s="8">
        <v>7</v>
      </c>
      <c r="G59" s="6" t="s">
        <v>122</v>
      </c>
      <c r="H59" s="6" t="s">
        <v>119</v>
      </c>
      <c r="I59" s="6" t="s">
        <v>4</v>
      </c>
      <c r="J59" s="6" t="s">
        <v>78</v>
      </c>
      <c r="K59" s="6" t="s">
        <v>123</v>
      </c>
      <c r="L59" s="6" t="s">
        <v>124</v>
      </c>
      <c r="M59" s="6" t="s">
        <v>8</v>
      </c>
      <c r="N59" s="6" t="s">
        <v>125</v>
      </c>
      <c r="O59" s="6" t="s">
        <v>126</v>
      </c>
      <c r="P59" s="6" t="s">
        <v>22</v>
      </c>
      <c r="Q59" s="6">
        <v>9</v>
      </c>
      <c r="R59" s="6">
        <v>3779.31</v>
      </c>
      <c r="S59" s="6">
        <v>0.2</v>
      </c>
      <c r="T59" s="6">
        <v>27322.9</v>
      </c>
      <c r="U59" s="6">
        <v>17940.43</v>
      </c>
      <c r="V59" s="6">
        <v>9270.6</v>
      </c>
      <c r="W59" s="6" t="s">
        <v>12</v>
      </c>
      <c r="X59" s="6" t="s">
        <v>75</v>
      </c>
      <c r="Y59" s="6"/>
    </row>
    <row r="60" spans="1:25" s="9" customFormat="1">
      <c r="A60" s="6" t="s">
        <v>137</v>
      </c>
      <c r="B60" s="6">
        <f t="shared" si="0"/>
        <v>2</v>
      </c>
      <c r="C60" s="6" t="s">
        <v>1</v>
      </c>
      <c r="D60" s="7">
        <v>45698</v>
      </c>
      <c r="E60" s="7">
        <v>45702</v>
      </c>
      <c r="F60" s="8">
        <v>4</v>
      </c>
      <c r="G60" s="6" t="s">
        <v>138</v>
      </c>
      <c r="H60" s="6" t="s">
        <v>35</v>
      </c>
      <c r="I60" s="6" t="s">
        <v>18</v>
      </c>
      <c r="J60" s="6" t="s">
        <v>26</v>
      </c>
      <c r="K60" s="6" t="s">
        <v>110</v>
      </c>
      <c r="L60" s="6" t="s">
        <v>111</v>
      </c>
      <c r="M60" s="6" t="s">
        <v>8</v>
      </c>
      <c r="N60" s="6" t="s">
        <v>49</v>
      </c>
      <c r="O60" s="6" t="s">
        <v>139</v>
      </c>
      <c r="P60" s="6" t="s">
        <v>85</v>
      </c>
      <c r="Q60" s="6">
        <v>5</v>
      </c>
      <c r="R60" s="6">
        <v>4276.29</v>
      </c>
      <c r="S60" s="6">
        <v>0</v>
      </c>
      <c r="T60" s="6">
        <v>21443.63</v>
      </c>
      <c r="U60" s="6">
        <v>13240.21</v>
      </c>
      <c r="V60" s="6">
        <v>8141.24</v>
      </c>
      <c r="W60" s="6" t="s">
        <v>98</v>
      </c>
      <c r="X60" s="6" t="s">
        <v>13</v>
      </c>
      <c r="Y60" s="6"/>
    </row>
    <row r="61" spans="1:25" s="9" customFormat="1">
      <c r="A61" s="6" t="s">
        <v>51</v>
      </c>
      <c r="B61" s="6">
        <f t="shared" si="0"/>
        <v>2</v>
      </c>
      <c r="C61" s="6" t="s">
        <v>1</v>
      </c>
      <c r="D61" s="7">
        <v>45381</v>
      </c>
      <c r="E61" s="7">
        <v>45377</v>
      </c>
      <c r="F61" s="8">
        <v>-4</v>
      </c>
      <c r="G61" s="6" t="s">
        <v>52</v>
      </c>
      <c r="H61" s="6" t="s">
        <v>53</v>
      </c>
      <c r="I61" s="6" t="s">
        <v>54</v>
      </c>
      <c r="J61" s="6" t="s">
        <v>26</v>
      </c>
      <c r="K61" s="6" t="s">
        <v>55</v>
      </c>
      <c r="L61" s="6" t="s">
        <v>56</v>
      </c>
      <c r="M61" s="6" t="s">
        <v>8</v>
      </c>
      <c r="N61" s="6" t="s">
        <v>49</v>
      </c>
      <c r="O61" s="6" t="s">
        <v>57</v>
      </c>
      <c r="P61" s="6" t="s">
        <v>43</v>
      </c>
      <c r="Q61" s="6">
        <v>5</v>
      </c>
      <c r="R61" s="6">
        <v>907.54</v>
      </c>
      <c r="S61" s="6">
        <v>0.15</v>
      </c>
      <c r="T61" s="6">
        <v>4099.6899999999996</v>
      </c>
      <c r="U61" s="6">
        <v>2769.26</v>
      </c>
      <c r="V61" s="6">
        <v>1087.78</v>
      </c>
      <c r="W61" s="6" t="s">
        <v>12</v>
      </c>
      <c r="X61" s="6" t="s">
        <v>75</v>
      </c>
      <c r="Y61" s="6" t="s">
        <v>14</v>
      </c>
    </row>
    <row r="62" spans="1:25" s="9" customFormat="1">
      <c r="A62" s="6" t="s">
        <v>76</v>
      </c>
      <c r="B62" s="6">
        <f t="shared" si="0"/>
        <v>2</v>
      </c>
      <c r="C62" s="6" t="s">
        <v>1</v>
      </c>
      <c r="D62" s="7">
        <v>45522</v>
      </c>
      <c r="E62" s="7">
        <v>45528</v>
      </c>
      <c r="F62" s="8">
        <v>6</v>
      </c>
      <c r="G62" s="6" t="s">
        <v>77</v>
      </c>
      <c r="H62" s="6" t="s">
        <v>70</v>
      </c>
      <c r="I62" s="6" t="s">
        <v>4</v>
      </c>
      <c r="J62" s="6" t="s">
        <v>78</v>
      </c>
      <c r="K62" s="6" t="s">
        <v>79</v>
      </c>
      <c r="L62" s="6" t="s">
        <v>80</v>
      </c>
      <c r="M62" s="6" t="s">
        <v>65</v>
      </c>
      <c r="N62" s="6" t="s">
        <v>81</v>
      </c>
      <c r="O62" s="6" t="s">
        <v>82</v>
      </c>
      <c r="P62" s="6" t="s">
        <v>22</v>
      </c>
      <c r="Q62" s="6">
        <v>7</v>
      </c>
      <c r="R62" s="6">
        <v>557.21</v>
      </c>
      <c r="S62" s="6">
        <v>0.1</v>
      </c>
      <c r="T62" s="6">
        <v>3797.79</v>
      </c>
      <c r="U62" s="6">
        <v>2191.5</v>
      </c>
      <c r="V62" s="6">
        <v>1213.48</v>
      </c>
      <c r="W62" s="6" t="s">
        <v>12</v>
      </c>
      <c r="X62" s="6" t="s">
        <v>75</v>
      </c>
      <c r="Y62" s="6"/>
    </row>
    <row r="63" spans="1:25" s="9" customFormat="1">
      <c r="A63" s="6" t="s">
        <v>23</v>
      </c>
      <c r="B63" s="6">
        <f t="shared" si="0"/>
        <v>3</v>
      </c>
      <c r="C63" s="6" t="s">
        <v>1</v>
      </c>
      <c r="D63" s="7">
        <v>45436</v>
      </c>
      <c r="E63" s="7">
        <v>45437</v>
      </c>
      <c r="F63" s="8">
        <v>1</v>
      </c>
      <c r="G63" s="6" t="s">
        <v>24</v>
      </c>
      <c r="H63" s="6" t="s">
        <v>25</v>
      </c>
      <c r="I63" s="6" t="s">
        <v>18</v>
      </c>
      <c r="J63" s="6" t="s">
        <v>26</v>
      </c>
      <c r="K63" s="6" t="s">
        <v>27</v>
      </c>
      <c r="L63" s="6" t="s">
        <v>28</v>
      </c>
      <c r="M63" s="6" t="s">
        <v>8</v>
      </c>
      <c r="N63" s="6" t="s">
        <v>9</v>
      </c>
      <c r="O63" s="6" t="s">
        <v>29</v>
      </c>
      <c r="P63" s="6" t="s">
        <v>30</v>
      </c>
      <c r="Q63" s="6">
        <v>1</v>
      </c>
      <c r="R63" s="6">
        <v>634.13</v>
      </c>
      <c r="S63" s="6">
        <v>0</v>
      </c>
      <c r="T63" s="6">
        <v>808.67</v>
      </c>
      <c r="U63" s="6">
        <v>453.35</v>
      </c>
      <c r="V63" s="6">
        <v>180.78</v>
      </c>
      <c r="W63" s="6" t="s">
        <v>31</v>
      </c>
      <c r="X63" s="6" t="s">
        <v>75</v>
      </c>
      <c r="Y63" s="6"/>
    </row>
    <row r="64" spans="1:25" s="9" customFormat="1">
      <c r="A64" s="6" t="s">
        <v>103</v>
      </c>
      <c r="B64" s="6">
        <f t="shared" si="0"/>
        <v>2</v>
      </c>
      <c r="C64" s="6" t="s">
        <v>1</v>
      </c>
      <c r="D64" s="7">
        <v>45824</v>
      </c>
      <c r="E64" s="7">
        <v>45826</v>
      </c>
      <c r="F64" s="8">
        <v>2</v>
      </c>
      <c r="G64" s="6" t="s">
        <v>104</v>
      </c>
      <c r="H64" s="6" t="s">
        <v>105</v>
      </c>
      <c r="I64" s="6" t="s">
        <v>54</v>
      </c>
      <c r="J64" s="6" t="s">
        <v>37</v>
      </c>
      <c r="K64" s="6" t="s">
        <v>38</v>
      </c>
      <c r="L64" s="6" t="s">
        <v>39</v>
      </c>
      <c r="M64" s="6" t="s">
        <v>40</v>
      </c>
      <c r="N64" s="6" t="s">
        <v>106</v>
      </c>
      <c r="O64" s="6" t="s">
        <v>107</v>
      </c>
      <c r="P64" s="6" t="s">
        <v>22</v>
      </c>
      <c r="Q64" s="6">
        <v>3</v>
      </c>
      <c r="R64" s="6">
        <v>4289.37</v>
      </c>
      <c r="S64" s="6">
        <v>0.1</v>
      </c>
      <c r="T64" s="6">
        <v>11778.71</v>
      </c>
      <c r="U64" s="6">
        <v>6829.43</v>
      </c>
      <c r="V64" s="6">
        <v>4751.87</v>
      </c>
      <c r="W64" s="6" t="s">
        <v>12</v>
      </c>
      <c r="X64" s="6" t="s">
        <v>75</v>
      </c>
      <c r="Y64" s="6"/>
    </row>
  </sheetData>
  <autoFilter ref="A1:Y64" xr:uid="{A64E29D9-69FE-40B1-BE29-5D4C5B7A569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Shinoj K R</dc:creator>
  <cp:lastModifiedBy>Shinoj K R</cp:lastModifiedBy>
  <dcterms:created xsi:type="dcterms:W3CDTF">2026-06-20T12:17:55Z</dcterms:created>
  <dcterms:modified xsi:type="dcterms:W3CDTF">2026-06-20T19:42:32Z</dcterms:modified>
</cp:coreProperties>
</file>